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structions" sheetId="1" r:id="rId1"/>
    <sheet name="Assumptions" sheetId="2" r:id="rId2"/>
    <sheet name="Conservative_Assumptions" sheetId="3" r:id="rId3"/>
    <sheet name="Portfolio_Summary" sheetId="4" r:id="rId4"/>
    <sheet name="Scenario_250" sheetId="5" r:id="rId5"/>
    <sheet name="Scenario_100" sheetId="6" r:id="rId6"/>
    <sheet name="Scenario_50" sheetId="7" r:id="rId7"/>
    <sheet name="Scenario_250_Conservative" sheetId="8" r:id="rId8"/>
    <sheet name="Scenario_100_Conservative" sheetId="9" r:id="rId9"/>
    <sheet name="Scenario_50_Conservative" sheetId="10" r:id="rId10"/>
    <sheet name="Role_Breakdown" sheetId="11" r:id="rId11"/>
    <sheet name="Visual_Summary" sheetId="12" r:id="rId1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120" customWidth="1"/>
  </cols>
  <sheetData>
    <row r="1">
      <c r="A1" t="inlineStr" s="1">
        <is>
          <t>CRDP Support Effort Estimator</t>
        </is>
      </c>
    </row>
    <row r="2">
      <c r="A2" t="inlineStr" s="1">
        <is>
          <t>Purpose</t>
        </is>
      </c>
    </row>
    <row r="3">
      <c r="A3" t="inlineStr">
        <is>
          <t>Use this workbook to compare monthly and annual incremental support effort for tokenization capability across different application portfolio sizes and rollout assumptions.</t>
        </is>
      </c>
    </row>
    <row r="4">
      <c r="A4" t="inlineStr">
        <is>
          <t>The calculation used on the scenario tabs is: Support Effort = Base Complexity x Readiness Multiplier x Criticality Multiplier x Data/Performance Multiplier.</t>
        </is>
      </c>
    </row>
    <row r="5">
      <c r="A5" t="inlineStr" s="1">
        <is>
          <t>How to use it</t>
        </is>
      </c>
    </row>
    <row r="6">
      <c r="A6" t="inlineStr">
        <is>
          <t>1. Review or edit the multiplier tables on the Assumptions and Conservative_Assumptions tabs.</t>
        </is>
      </c>
    </row>
    <row r="7">
      <c r="A7" t="inlineStr">
        <is>
          <t>2. On each Scenario tab, adjust application counts and dropdown-style labels directly in the cells.</t>
        </is>
      </c>
    </row>
    <row r="8">
      <c r="A8" t="inlineStr">
        <is>
          <t>3. Base complexity hours are sample midpoint assumptions from the estimating guide.</t>
        </is>
      </c>
    </row>
    <row r="9">
      <c r="A9" t="inlineStr">
        <is>
          <t>4. The 250-app scenario is intentionally broad and may overstate scope before the assessment tool narrows true change owners.</t>
        </is>
      </c>
    </row>
    <row r="10">
      <c r="A10" t="inlineStr">
        <is>
          <t>5. The 100-app and 50-app scenarios model what support can look like after assessment-based scope reduction.</t>
        </is>
      </c>
    </row>
    <row r="11">
      <c r="A11" t="inlineStr">
        <is>
          <t>6. Portfolio_Summary compares baseline and conservative assumptions side by side.</t>
        </is>
      </c>
    </row>
    <row r="12">
      <c r="A12" t="inlineStr">
        <is>
          <t>7. Role_Breakdown allocates monthly hours across roles such as DevOps, DBA, Thales admin, and application support.</t>
        </is>
      </c>
    </row>
    <row r="13">
      <c r="A13" t="inlineStr">
        <is>
          <t>8. Visual_Summary provides chart-like bars using formulas so the workbook stays self-contained.</t>
        </is>
      </c>
    </row>
    <row r="14">
      <c r="A14" t="inlineStr" s="1">
        <is>
          <t>Scenario design intent</t>
        </is>
      </c>
    </row>
    <row r="15">
      <c r="A15" t="inlineStr">
        <is>
          <t>Scenario_250 = broad pre-assessment estate view</t>
        </is>
      </c>
    </row>
    <row r="16">
      <c r="A16" t="inlineStr">
        <is>
          <t>Scenario_100 = likely in-scope portfolio after ownership analysis</t>
        </is>
      </c>
    </row>
    <row r="17">
      <c r="A17" t="inlineStr">
        <is>
          <t>Scenario_50 = focused rollout wave or narrowed true-change-owner population</t>
        </is>
      </c>
    </row>
    <row r="18">
      <c r="A18" t="inlineStr" s="1">
        <is>
          <t>FTE note</t>
        </is>
      </c>
    </row>
    <row r="19">
      <c r="A19" t="inlineStr">
        <is>
          <t>Monthly FTE is calculated using 160 hours per month as a planning assumption.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18" customWidth="1"/>
    <col min="3" max="3" width="4" customWidth="1"/>
    <col min="4" max="4" width="18" customWidth="1"/>
    <col min="5" max="5" width="12" customWidth="1"/>
    <col min="6" max="6" width="4" customWidth="1"/>
    <col min="7" max="7" width="18" customWidth="1"/>
    <col min="8" max="8" width="12" customWidth="1"/>
    <col min="9" max="9" width="4" customWidth="1"/>
    <col min="10" max="10" width="20" customWidth="1"/>
    <col min="11" max="11" width="12" customWidth="1"/>
  </cols>
  <sheetData>
    <row r="1">
      <c r="A1" t="inlineStr" s="1">
        <is>
          <t>Assumption Tables</t>
        </is>
      </c>
    </row>
    <row r="2"/>
    <row r="3">
      <c r="A3" t="inlineStr">
        <is>
          <t>Base Complexity</t>
        </is>
      </c>
      <c r="B3" t="inlineStr" s="1">
        <is>
          <t>Hours / App / Month</t>
        </is>
      </c>
      <c r="D3" t="inlineStr">
        <is>
          <t>Readiness</t>
        </is>
      </c>
      <c r="E3" t="inlineStr" s="1">
        <is>
          <t>Multiplier</t>
        </is>
      </c>
      <c r="G3" t="inlineStr">
        <is>
          <t>Criticality</t>
        </is>
      </c>
      <c r="H3" t="inlineStr" s="1">
        <is>
          <t>Multiplier</t>
        </is>
      </c>
      <c r="J3" t="inlineStr">
        <is>
          <t>Data / Performance</t>
        </is>
      </c>
      <c r="K3" t="inlineStr" s="1">
        <is>
          <t>Multiplier</t>
        </is>
      </c>
    </row>
    <row r="4">
      <c r="A4" t="inlineStr">
        <is>
          <t>Low</t>
        </is>
      </c>
      <c r="B4">
        <v>3</v>
      </c>
      <c r="D4" t="inlineStr">
        <is>
          <t>High</t>
        </is>
      </c>
      <c r="E4">
        <v>0.95</v>
      </c>
      <c r="G4" t="inlineStr">
        <is>
          <t>BusinessHours</t>
        </is>
      </c>
      <c r="H4">
        <v>1.0</v>
      </c>
      <c r="J4" t="inlineStr">
        <is>
          <t>Low</t>
        </is>
      </c>
      <c r="K4">
        <v>1.0</v>
      </c>
    </row>
    <row r="5">
      <c r="A5" t="inlineStr">
        <is>
          <t>Medium</t>
        </is>
      </c>
      <c r="B5">
        <v>9.5</v>
      </c>
      <c r="D5" t="inlineStr">
        <is>
          <t>Medium</t>
        </is>
      </c>
      <c r="E5">
        <v>1.1</v>
      </c>
      <c r="G5" t="inlineStr">
        <is>
          <t>Near24x7</t>
        </is>
      </c>
      <c r="H5">
        <v>1.3</v>
      </c>
      <c r="J5" t="inlineStr">
        <is>
          <t>Moderate</t>
        </is>
      </c>
      <c r="K5">
        <v>1.2</v>
      </c>
    </row>
    <row r="6">
      <c r="A6" t="inlineStr">
        <is>
          <t>High</t>
        </is>
      </c>
      <c r="B6">
        <v>24</v>
      </c>
      <c r="D6" t="inlineStr">
        <is>
          <t>Low</t>
        </is>
      </c>
      <c r="E6">
        <v>1.5</v>
      </c>
      <c r="G6" t="inlineStr">
        <is>
          <t>HighlyCritical</t>
        </is>
      </c>
      <c r="H6">
        <v>1.6</v>
      </c>
      <c r="J6" t="inlineStr">
        <is>
          <t>High</t>
        </is>
      </c>
      <c r="K6">
        <v>1.5</v>
      </c>
    </row>
    <row r="7"/>
    <row r="8">
      <c r="A8" t="inlineStr" s="1">
        <is>
          <t>Notes</t>
        </is>
      </c>
    </row>
    <row r="9">
      <c r="A9" t="inlineStr">
        <is>
          <t>Low / Medium / High base complexity hours are midpoint planning assumptions derived from the estimating guide.</t>
        </is>
      </c>
    </row>
    <row r="10">
      <c r="A10" t="inlineStr">
        <is>
          <t>You can change any multiplier in this sheet and all baseline scenario totals will recalculate when the workbook is opened in Excel.</t>
        </is>
      </c>
    </row>
    <row r="11">
      <c r="A11" t="inlineStr">
        <is>
          <t>For front-end reference-only populations, the assessment tool often reduces the true support scope substantially.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18" customWidth="1"/>
    <col min="3" max="3" width="4" customWidth="1"/>
    <col min="4" max="4" width="18" customWidth="1"/>
    <col min="5" max="5" width="12" customWidth="1"/>
    <col min="6" max="6" width="4" customWidth="1"/>
    <col min="7" max="7" width="18" customWidth="1"/>
    <col min="8" max="8" width="12" customWidth="1"/>
    <col min="9" max="9" width="4" customWidth="1"/>
    <col min="10" max="10" width="20" customWidth="1"/>
    <col min="11" max="11" width="12" customWidth="1"/>
  </cols>
  <sheetData>
    <row r="1">
      <c r="A1" t="inlineStr" s="1">
        <is>
          <t>Conservative Assumption Tables</t>
        </is>
      </c>
    </row>
    <row r="2"/>
    <row r="3">
      <c r="A3" t="inlineStr">
        <is>
          <t>Base Complexity</t>
        </is>
      </c>
      <c r="B3" t="inlineStr" s="1">
        <is>
          <t>Hours / App / Month</t>
        </is>
      </c>
      <c r="D3" t="inlineStr">
        <is>
          <t>Readiness</t>
        </is>
      </c>
      <c r="E3" t="inlineStr" s="1">
        <is>
          <t>Multiplier</t>
        </is>
      </c>
      <c r="G3" t="inlineStr">
        <is>
          <t>Criticality</t>
        </is>
      </c>
      <c r="H3" t="inlineStr" s="1">
        <is>
          <t>Multiplier</t>
        </is>
      </c>
      <c r="J3" t="inlineStr">
        <is>
          <t>Data / Performance</t>
        </is>
      </c>
      <c r="K3" t="inlineStr" s="1">
        <is>
          <t>Multiplier</t>
        </is>
      </c>
    </row>
    <row r="4">
      <c r="A4" t="inlineStr">
        <is>
          <t>Low</t>
        </is>
      </c>
      <c r="B4">
        <v>3</v>
      </c>
      <c r="D4" t="inlineStr">
        <is>
          <t>High</t>
        </is>
      </c>
      <c r="E4">
        <v>0.9</v>
      </c>
      <c r="G4" t="inlineStr">
        <is>
          <t>BusinessHours</t>
        </is>
      </c>
      <c r="H4">
        <v>1.0</v>
      </c>
      <c r="J4" t="inlineStr">
        <is>
          <t>Low</t>
        </is>
      </c>
      <c r="K4">
        <v>1.0</v>
      </c>
    </row>
    <row r="5">
      <c r="A5" t="inlineStr">
        <is>
          <t>Medium</t>
        </is>
      </c>
      <c r="B5">
        <v>9.5</v>
      </c>
      <c r="D5" t="inlineStr">
        <is>
          <t>Medium</t>
        </is>
      </c>
      <c r="E5">
        <v>1.0</v>
      </c>
      <c r="G5" t="inlineStr">
        <is>
          <t>Near24x7</t>
        </is>
      </c>
      <c r="H5">
        <v>1.15</v>
      </c>
      <c r="J5" t="inlineStr">
        <is>
          <t>Moderate</t>
        </is>
      </c>
      <c r="K5">
        <v>1.1</v>
      </c>
    </row>
    <row r="6">
      <c r="A6" t="inlineStr">
        <is>
          <t>High</t>
        </is>
      </c>
      <c r="B6">
        <v>24</v>
      </c>
      <c r="D6" t="inlineStr">
        <is>
          <t>Low</t>
        </is>
      </c>
      <c r="E6">
        <v>1.25</v>
      </c>
      <c r="G6" t="inlineStr">
        <is>
          <t>HighlyCritical</t>
        </is>
      </c>
      <c r="H6">
        <v>1.35</v>
      </c>
      <c r="J6" t="inlineStr">
        <is>
          <t>High</t>
        </is>
      </c>
      <c r="K6">
        <v>1.25</v>
      </c>
    </row>
    <row r="7"/>
    <row r="8">
      <c r="A8" t="inlineStr" s="1">
        <is>
          <t>Notes</t>
        </is>
      </c>
    </row>
    <row r="9">
      <c r="A9" t="inlineStr">
        <is>
          <t>This tab models a lighter steady-state support assumption after reusable wrappers, good automation, and stable platform operations are in place.</t>
        </is>
      </c>
    </row>
    <row r="10">
      <c r="A10" t="inlineStr">
        <is>
          <t>These multipliers are useful for customer conversations where Thales policy administration and application break-fix are expected to remain low after onboarding.</t>
        </is>
      </c>
    </row>
    <row r="11">
      <c r="A11" t="inlineStr">
        <is>
          <t>Use this set when you want to show an efficiency-oriented operating model alongside the baseline view.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16" customWidth="1"/>
    <col min="3" max="3" width="20" customWidth="1"/>
    <col min="4" max="4" width="20" customWidth="1"/>
    <col min="5" max="5" width="18" customWidth="1"/>
    <col min="6" max="6" width="22" customWidth="1"/>
    <col min="7" max="7" width="22" customWidth="1"/>
    <col min="8" max="8" width="20" customWidth="1"/>
    <col min="9" max="9" width="72" customWidth="1"/>
  </cols>
  <sheetData>
    <row r="1">
      <c r="A1" t="inlineStr" s="1">
        <is>
          <t>Portfolio Scenario Summary</t>
        </is>
      </c>
    </row>
    <row r="2">
      <c r="A2" t="inlineStr">
        <is>
          <t>These totals roll up the scenario tabs and show how scope reduction changes support assumptions.</t>
        </is>
      </c>
    </row>
    <row r="3">
      <c r="A3" t="inlineStr" s="1">
        <is>
          <t>Scenario</t>
        </is>
      </c>
      <c r="B3" t="inlineStr" s="1">
        <is>
          <t>Applications</t>
        </is>
      </c>
      <c r="C3" t="inlineStr" s="1">
        <is>
          <t>Baseline Monthly Hours</t>
        </is>
      </c>
      <c r="D3" t="inlineStr" s="1">
        <is>
          <t>Baseline Annual Hours</t>
        </is>
      </c>
      <c r="E3" t="inlineStr" s="1">
        <is>
          <t>Baseline Monthly FTE</t>
        </is>
      </c>
      <c r="F3" t="inlineStr" s="1">
        <is>
          <t>Conservative Monthly Hours</t>
        </is>
      </c>
      <c r="G3" t="inlineStr" s="1">
        <is>
          <t>Conservative Annual Hours</t>
        </is>
      </c>
      <c r="H3" t="inlineStr" s="1">
        <is>
          <t>Conservative Monthly FTE</t>
        </is>
      </c>
      <c r="I3" t="inlineStr" s="1">
        <is>
          <t>Interpretation</t>
        </is>
      </c>
    </row>
    <row r="4">
      <c r="A4" t="inlineStr">
        <is>
          <t>250 apps</t>
        </is>
      </c>
      <c r="B4">
        <f>Scenario_250!B12</f>
      </c>
      <c r="C4">
        <f>Scenario_250!B13</f>
      </c>
      <c r="D4">
        <f>Scenario_250!B14</f>
      </c>
      <c r="E4">
        <f>Scenario_250!B15</f>
      </c>
      <c r="F4">
        <f>Scenario_250_Conservative!B13</f>
      </c>
      <c r="G4">
        <f>Scenario_250_Conservative!B14</f>
      </c>
      <c r="H4">
        <f>Scenario_250_Conservative!B15</f>
      </c>
      <c r="I4" t="inlineStr">
        <is>
          <t>Broad pre-assessment estate view. Likely overstates true change-owner scope.</t>
        </is>
      </c>
    </row>
    <row r="5">
      <c r="A5" t="inlineStr">
        <is>
          <t>100 apps</t>
        </is>
      </c>
      <c r="B5">
        <f>Scenario_100!B12</f>
      </c>
      <c r="C5">
        <f>Scenario_100!B13</f>
      </c>
      <c r="D5">
        <f>Scenario_100!B14</f>
      </c>
      <c r="E5">
        <f>Scenario_100!B15</f>
      </c>
      <c r="F5">
        <f>Scenario_100_Conservative!B13</f>
      </c>
      <c r="G5">
        <f>Scenario_100_Conservative!B14</f>
      </c>
      <c r="H5">
        <f>Scenario_100_Conservative!B15</f>
      </c>
      <c r="I5" t="inlineStr">
        <is>
          <t>Post-assessment view where front-end-only references and low-impact apps are reduced.</t>
        </is>
      </c>
    </row>
    <row r="6">
      <c r="A6" t="inlineStr">
        <is>
          <t>50 apps</t>
        </is>
      </c>
      <c r="B6">
        <f>Scenario_50!B12</f>
      </c>
      <c r="C6">
        <f>Scenario_50!B13</f>
      </c>
      <c r="D6">
        <f>Scenario_50!B14</f>
      </c>
      <c r="E6">
        <f>Scenario_50!B15</f>
      </c>
      <c r="F6">
        <f>Scenario_50_Conservative!B13</f>
      </c>
      <c r="G6">
        <f>Scenario_50_Conservative!B14</f>
      </c>
      <c r="H6">
        <f>Scenario_50_Conservative!B15</f>
      </c>
      <c r="I6" t="inlineStr">
        <is>
          <t>Focused rollout wave or narrowed set of true back-end/data-access owners.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32" customWidth="1"/>
    <col min="2" max="2" width="16" customWidth="1"/>
    <col min="3" max="3" width="12" customWidth="1"/>
    <col min="4" max="4" width="26" customWidth="1"/>
    <col min="5" max="5" width="14" customWidth="1"/>
    <col min="6" max="6" width="18" customWidth="1"/>
    <col min="7" max="7" width="16" customWidth="1"/>
    <col min="8" max="8" width="18" customWidth="1"/>
    <col min="9" max="9" width="18" customWidth="1"/>
    <col min="10" max="10" width="22" customWidth="1"/>
    <col min="11" max="11" width="22" customWidth="1"/>
    <col min="12" max="12" width="18" customWidth="1"/>
    <col min="13" max="13" width="62" customWidth="1"/>
  </cols>
  <sheetData>
    <row r="1">
      <c r="A1" t="inlineStr" s="1">
        <is>
          <t>250 Application Support Effort Scenario</t>
        </is>
      </c>
    </row>
    <row r="2">
      <c r="A2" t="inlineStr">
        <is>
          <t>Sample assumptions. Edit counts or multiplier labels as needed.</t>
        </is>
      </c>
    </row>
    <row r="3">
      <c r="A3" t="inlineStr" s="1">
        <is>
          <t>Use Case</t>
        </is>
      </c>
      <c r="B3" t="inlineStr" s="1">
        <is>
          <t>Application Count</t>
        </is>
      </c>
      <c r="C3" t="inlineStr" s="1">
        <is>
          <t>Complexity</t>
        </is>
      </c>
      <c r="D3" t="inlineStr" s="1">
        <is>
          <t>Base Complexity Hours / App / Month</t>
        </is>
      </c>
      <c r="E3" t="inlineStr" s="1">
        <is>
          <t>Readiness</t>
        </is>
      </c>
      <c r="F3" t="inlineStr" s="1">
        <is>
          <t>Readiness Multiplier</t>
        </is>
      </c>
      <c r="G3" t="inlineStr" s="1">
        <is>
          <t>Criticality</t>
        </is>
      </c>
      <c r="H3" t="inlineStr" s="1">
        <is>
          <t>Criticality Multiplier</t>
        </is>
      </c>
      <c r="I3" t="inlineStr" s="1">
        <is>
          <t>Data / Performance</t>
        </is>
      </c>
      <c r="J3" t="inlineStr" s="1">
        <is>
          <t>Data / Performance Multiplier</t>
        </is>
      </c>
      <c r="K3" t="inlineStr" s="1">
        <is>
          <t>Adjusted Monthly Hours / App</t>
        </is>
      </c>
      <c r="L3" t="inlineStr" s="1">
        <is>
          <t>Total Monthly Hours</t>
        </is>
      </c>
      <c r="M3" t="inlineStr" s="1">
        <is>
          <t>Notes</t>
        </is>
      </c>
    </row>
    <row r="4">
      <c r="A4" t="inlineStr">
        <is>
          <t>Front-end reference / proxy review</t>
        </is>
      </c>
      <c r="B4">
        <v>150</v>
      </c>
      <c r="C4" t="inlineStr">
        <is>
          <t>Low</t>
        </is>
      </c>
      <c r="D4">
        <f>VLOOKUP(C4,Assumptions!$A$4:$B$6,2,FALSE)</f>
      </c>
      <c r="E4" t="inlineStr">
        <is>
          <t>Medium</t>
        </is>
      </c>
      <c r="F4">
        <f>VLOOKUP(E4,Assumptions!$D$4:$E$6,2,FALSE)</f>
      </c>
      <c r="G4" t="inlineStr">
        <is>
          <t>BusinessHours</t>
        </is>
      </c>
      <c r="H4">
        <f>VLOOKUP(G4,Assumptions!$G$4:$H$6,2,FALSE)</f>
      </c>
      <c r="I4" t="inlineStr">
        <is>
          <t>Low</t>
        </is>
      </c>
      <c r="J4">
        <f>VLOOKUP(I4,Assumptions!$J$4:$K$6,2,FALSE)</f>
      </c>
      <c r="K4">
        <f>D4*F4*H4*J4</f>
      </c>
      <c r="L4">
        <f>B4*K4</f>
      </c>
      <c r="M4" t="inlineStr">
        <is>
          <t>Many may only reference sensitive fields; assessment often removes most from true change scope.</t>
        </is>
      </c>
    </row>
    <row r="5">
      <c r="A5" t="inlineStr">
        <is>
          <t>Back-end API owners</t>
        </is>
      </c>
      <c r="B5">
        <v>30</v>
      </c>
      <c r="C5" t="inlineStr">
        <is>
          <t>Medium</t>
        </is>
      </c>
      <c r="D5">
        <f>VLOOKUP(C5,Assumptions!$A$4:$B$6,2,FALSE)</f>
      </c>
      <c r="E5" t="inlineStr">
        <is>
          <t>Medium</t>
        </is>
      </c>
      <c r="F5">
        <f>VLOOKUP(E5,Assumptions!$D$4:$E$6,2,FALSE)</f>
      </c>
      <c r="G5" t="inlineStr">
        <is>
          <t>Near24x7</t>
        </is>
      </c>
      <c r="H5">
        <f>VLOOKUP(G5,Assumptions!$G$4:$H$6,2,FALSE)</f>
      </c>
      <c r="I5" t="inlineStr">
        <is>
          <t>Moderate</t>
        </is>
      </c>
      <c r="J5">
        <f>VLOOKUP(I5,Assumptions!$J$4:$K$6,2,FALSE)</f>
      </c>
      <c r="K5">
        <f>D5*F5*H5*J5</f>
      </c>
      <c r="L5">
        <f>B5*K5</f>
      </c>
      <c r="M5" t="inlineStr">
        <is>
          <t>Primary REST and service owners after assessment.</t>
        </is>
      </c>
    </row>
    <row r="6">
      <c r="A6" t="inlineStr">
        <is>
          <t>JDBC candidate applications</t>
        </is>
      </c>
      <c r="B6">
        <v>20</v>
      </c>
      <c r="C6" t="inlineStr">
        <is>
          <t>Low</t>
        </is>
      </c>
      <c r="D6">
        <f>VLOOKUP(C6,Assumptions!$A$4:$B$6,2,FALSE)</f>
      </c>
      <c r="E6" t="inlineStr">
        <is>
          <t>High</t>
        </is>
      </c>
      <c r="F6">
        <f>VLOOKUP(E6,Assumptions!$D$4:$E$6,2,FALSE)</f>
      </c>
      <c r="G6" t="inlineStr">
        <is>
          <t>BusinessHours</t>
        </is>
      </c>
      <c r="H6">
        <f>VLOOKUP(G6,Assumptions!$G$4:$H$6,2,FALSE)</f>
      </c>
      <c r="I6" t="inlineStr">
        <is>
          <t>Moderate</t>
        </is>
      </c>
      <c r="J6">
        <f>VLOOKUP(I6,Assumptions!$J$4:$K$6,2,FALSE)</f>
      </c>
      <c r="K6">
        <f>D6*F6*H6*J6</f>
      </c>
      <c r="L6">
        <f>B6*K6</f>
      </c>
      <c r="M6" t="inlineStr">
        <is>
          <t>Lower incremental support if driver-based coverage is feasible.</t>
        </is>
      </c>
    </row>
    <row r="7">
      <c r="A7" t="inlineStr">
        <is>
          <t>Kafka producers / consumers</t>
        </is>
      </c>
      <c r="B7">
        <v>10</v>
      </c>
      <c r="C7" t="inlineStr">
        <is>
          <t>High</t>
        </is>
      </c>
      <c r="D7">
        <f>VLOOKUP(C7,Assumptions!$A$4:$B$6,2,FALSE)</f>
      </c>
      <c r="E7" t="inlineStr">
        <is>
          <t>Medium</t>
        </is>
      </c>
      <c r="F7">
        <f>VLOOKUP(E7,Assumptions!$D$4:$E$6,2,FALSE)</f>
      </c>
      <c r="G7" t="inlineStr">
        <is>
          <t>HighlyCritical</t>
        </is>
      </c>
      <c r="H7">
        <f>VLOOKUP(G7,Assumptions!$G$4:$H$6,2,FALSE)</f>
      </c>
      <c r="I7" t="inlineStr">
        <is>
          <t>High</t>
        </is>
      </c>
      <c r="J7">
        <f>VLOOKUP(I7,Assumptions!$J$4:$K$6,2,FALSE)</f>
      </c>
      <c r="K7">
        <f>D7*F7*H7*J7</f>
      </c>
      <c r="L7">
        <f>B7*K7</f>
      </c>
      <c r="M7" t="inlineStr">
        <is>
          <t>Message-contract, replay, and reveal/protect troubleshooting sensitivity.</t>
        </is>
      </c>
    </row>
    <row r="8">
      <c r="A8" t="inlineStr">
        <is>
          <t>Mainframe / WebSphere / Oracle</t>
        </is>
      </c>
      <c r="B8">
        <v>10</v>
      </c>
      <c r="C8" t="inlineStr">
        <is>
          <t>High</t>
        </is>
      </c>
      <c r="D8">
        <f>VLOOKUP(C8,Assumptions!$A$4:$B$6,2,FALSE)</f>
      </c>
      <c r="E8" t="inlineStr">
        <is>
          <t>Low</t>
        </is>
      </c>
      <c r="F8">
        <f>VLOOKUP(E8,Assumptions!$D$4:$E$6,2,FALSE)</f>
      </c>
      <c r="G8" t="inlineStr">
        <is>
          <t>HighlyCritical</t>
        </is>
      </c>
      <c r="H8">
        <f>VLOOKUP(G8,Assumptions!$G$4:$H$6,2,FALSE)</f>
      </c>
      <c r="I8" t="inlineStr">
        <is>
          <t>High</t>
        </is>
      </c>
      <c r="J8">
        <f>VLOOKUP(I8,Assumptions!$J$4:$K$6,2,FALSE)</f>
      </c>
      <c r="K8">
        <f>D8*F8*H8*J8</f>
      </c>
      <c r="L8">
        <f>B8*K8</f>
      </c>
      <c r="M8" t="inlineStr">
        <is>
          <t>Cross-platform support and contractor-readiness risk.</t>
        </is>
      </c>
    </row>
    <row r="9">
      <c r="A9" t="inlineStr">
        <is>
          <t>Databricks reveal / batch</t>
        </is>
      </c>
      <c r="B9">
        <v>20</v>
      </c>
      <c r="C9" t="inlineStr">
        <is>
          <t>Medium</t>
        </is>
      </c>
      <c r="D9">
        <f>VLOOKUP(C9,Assumptions!$A$4:$B$6,2,FALSE)</f>
      </c>
      <c r="E9" t="inlineStr">
        <is>
          <t>Medium</t>
        </is>
      </c>
      <c r="F9">
        <f>VLOOKUP(E9,Assumptions!$D$4:$E$6,2,FALSE)</f>
      </c>
      <c r="G9" t="inlineStr">
        <is>
          <t>BusinessHours</t>
        </is>
      </c>
      <c r="H9">
        <f>VLOOKUP(G9,Assumptions!$G$4:$H$6,2,FALSE)</f>
      </c>
      <c r="I9" t="inlineStr">
        <is>
          <t>High</t>
        </is>
      </c>
      <c r="J9">
        <f>VLOOKUP(I9,Assumptions!$J$4:$K$6,2,FALSE)</f>
      </c>
      <c r="K9">
        <f>D9*F9*H9*J9</f>
      </c>
      <c r="L9">
        <f>B9*K9</f>
      </c>
      <c r="M9" t="inlineStr">
        <is>
          <t>Batch windows and downstream analytics dependencies.</t>
        </is>
      </c>
    </row>
    <row r="10">
      <c r="A10" t="inlineStr">
        <is>
          <t>Analytics / reveal-heavy</t>
        </is>
      </c>
      <c r="B10">
        <v>10</v>
      </c>
      <c r="C10" t="inlineStr">
        <is>
          <t>High</t>
        </is>
      </c>
      <c r="D10">
        <f>VLOOKUP(C10,Assumptions!$A$4:$B$6,2,FALSE)</f>
      </c>
      <c r="E10" t="inlineStr">
        <is>
          <t>Medium</t>
        </is>
      </c>
      <c r="F10">
        <f>VLOOKUP(E10,Assumptions!$D$4:$E$6,2,FALSE)</f>
      </c>
      <c r="G10" t="inlineStr">
        <is>
          <t>Near24x7</t>
        </is>
      </c>
      <c r="H10">
        <f>VLOOKUP(G10,Assumptions!$G$4:$H$6,2,FALSE)</f>
      </c>
      <c r="I10" t="inlineStr">
        <is>
          <t>High</t>
        </is>
      </c>
      <c r="J10">
        <f>VLOOKUP(I10,Assumptions!$J$4:$K$6,2,FALSE)</f>
      </c>
      <c r="K10">
        <f>D10*F10*H10*J10</f>
      </c>
      <c r="L10">
        <f>B10*K10</f>
      </c>
      <c r="M10" t="inlineStr">
        <is>
          <t>Large result sets and performance sensitivity.</t>
        </is>
      </c>
    </row>
    <row r="11"/>
    <row r="12">
      <c r="A12" t="inlineStr" s="1">
        <is>
          <t>Total applications</t>
        </is>
      </c>
      <c r="B12">
        <f>SUM(B4:B10)</f>
      </c>
    </row>
    <row r="13">
      <c r="A13" t="inlineStr" s="1">
        <is>
          <t>Total monthly hours</t>
        </is>
      </c>
      <c r="B13">
        <f>SUM(L4:L10)</f>
      </c>
    </row>
    <row r="14">
      <c r="A14" t="inlineStr" s="1">
        <is>
          <t>Total annual hours</t>
        </is>
      </c>
      <c r="B14">
        <f>B13*12</f>
      </c>
    </row>
    <row r="15">
      <c r="A15" t="inlineStr" s="1">
        <is>
          <t>Estimated monthly FTE (160h)</t>
        </is>
      </c>
      <c r="B15">
        <f>B13/160</f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32" customWidth="1"/>
    <col min="2" max="2" width="16" customWidth="1"/>
    <col min="3" max="3" width="12" customWidth="1"/>
    <col min="4" max="4" width="26" customWidth="1"/>
    <col min="5" max="5" width="14" customWidth="1"/>
    <col min="6" max="6" width="18" customWidth="1"/>
    <col min="7" max="7" width="16" customWidth="1"/>
    <col min="8" max="8" width="18" customWidth="1"/>
    <col min="9" max="9" width="18" customWidth="1"/>
    <col min="10" max="10" width="22" customWidth="1"/>
    <col min="11" max="11" width="22" customWidth="1"/>
    <col min="12" max="12" width="18" customWidth="1"/>
    <col min="13" max="13" width="62" customWidth="1"/>
  </cols>
  <sheetData>
    <row r="1">
      <c r="A1" t="inlineStr" s="1">
        <is>
          <t>100 Application Support Effort Scenario</t>
        </is>
      </c>
    </row>
    <row r="2">
      <c r="A2" t="inlineStr">
        <is>
          <t>Sample assumptions. Edit counts or multiplier labels as needed.</t>
        </is>
      </c>
    </row>
    <row r="3">
      <c r="A3" t="inlineStr" s="1">
        <is>
          <t>Use Case</t>
        </is>
      </c>
      <c r="B3" t="inlineStr" s="1">
        <is>
          <t>Application Count</t>
        </is>
      </c>
      <c r="C3" t="inlineStr" s="1">
        <is>
          <t>Complexity</t>
        </is>
      </c>
      <c r="D3" t="inlineStr" s="1">
        <is>
          <t>Base Complexity Hours / App / Month</t>
        </is>
      </c>
      <c r="E3" t="inlineStr" s="1">
        <is>
          <t>Readiness</t>
        </is>
      </c>
      <c r="F3" t="inlineStr" s="1">
        <is>
          <t>Readiness Multiplier</t>
        </is>
      </c>
      <c r="G3" t="inlineStr" s="1">
        <is>
          <t>Criticality</t>
        </is>
      </c>
      <c r="H3" t="inlineStr" s="1">
        <is>
          <t>Criticality Multiplier</t>
        </is>
      </c>
      <c r="I3" t="inlineStr" s="1">
        <is>
          <t>Data / Performance</t>
        </is>
      </c>
      <c r="J3" t="inlineStr" s="1">
        <is>
          <t>Data / Performance Multiplier</t>
        </is>
      </c>
      <c r="K3" t="inlineStr" s="1">
        <is>
          <t>Adjusted Monthly Hours / App</t>
        </is>
      </c>
      <c r="L3" t="inlineStr" s="1">
        <is>
          <t>Total Monthly Hours</t>
        </is>
      </c>
      <c r="M3" t="inlineStr" s="1">
        <is>
          <t>Notes</t>
        </is>
      </c>
    </row>
    <row r="4">
      <c r="A4" t="inlineStr">
        <is>
          <t>Front-end reference / proxy review</t>
        </is>
      </c>
      <c r="B4">
        <v>20</v>
      </c>
      <c r="C4" t="inlineStr">
        <is>
          <t>Low</t>
        </is>
      </c>
      <c r="D4">
        <f>VLOOKUP(C4,Assumptions!$A$4:$B$6,2,FALSE)</f>
      </c>
      <c r="E4" t="inlineStr">
        <is>
          <t>Medium</t>
        </is>
      </c>
      <c r="F4">
        <f>VLOOKUP(E4,Assumptions!$D$4:$E$6,2,FALSE)</f>
      </c>
      <c r="G4" t="inlineStr">
        <is>
          <t>BusinessHours</t>
        </is>
      </c>
      <c r="H4">
        <f>VLOOKUP(G4,Assumptions!$G$4:$H$6,2,FALSE)</f>
      </c>
      <c r="I4" t="inlineStr">
        <is>
          <t>Low</t>
        </is>
      </c>
      <c r="J4">
        <f>VLOOKUP(I4,Assumptions!$J$4:$K$6,2,FALSE)</f>
      </c>
      <c r="K4">
        <f>D4*F4*H4*J4</f>
      </c>
      <c r="L4">
        <f>B4*K4</f>
      </c>
      <c r="M4" t="inlineStr">
        <is>
          <t>Reduced scope after ownership analysis.</t>
        </is>
      </c>
    </row>
    <row r="5">
      <c r="A5" t="inlineStr">
        <is>
          <t>Back-end API owners</t>
        </is>
      </c>
      <c r="B5">
        <v>25</v>
      </c>
      <c r="C5" t="inlineStr">
        <is>
          <t>Medium</t>
        </is>
      </c>
      <c r="D5">
        <f>VLOOKUP(C5,Assumptions!$A$4:$B$6,2,FALSE)</f>
      </c>
      <c r="E5" t="inlineStr">
        <is>
          <t>Medium</t>
        </is>
      </c>
      <c r="F5">
        <f>VLOOKUP(E5,Assumptions!$D$4:$E$6,2,FALSE)</f>
      </c>
      <c r="G5" t="inlineStr">
        <is>
          <t>Near24x7</t>
        </is>
      </c>
      <c r="H5">
        <f>VLOOKUP(G5,Assumptions!$G$4:$H$6,2,FALSE)</f>
      </c>
      <c r="I5" t="inlineStr">
        <is>
          <t>Moderate</t>
        </is>
      </c>
      <c r="J5">
        <f>VLOOKUP(I5,Assumptions!$J$4:$K$6,2,FALSE)</f>
      </c>
      <c r="K5">
        <f>D5*F5*H5*J5</f>
      </c>
      <c r="L5">
        <f>B5*K5</f>
      </c>
      <c r="M5" t="inlineStr">
        <is>
          <t>Likely true REST and business-logic change owners.</t>
        </is>
      </c>
    </row>
    <row r="6">
      <c r="A6" t="inlineStr">
        <is>
          <t>JDBC candidate applications</t>
        </is>
      </c>
      <c r="B6">
        <v>15</v>
      </c>
      <c r="C6" t="inlineStr">
        <is>
          <t>Low</t>
        </is>
      </c>
      <c r="D6">
        <f>VLOOKUP(C6,Assumptions!$A$4:$B$6,2,FALSE)</f>
      </c>
      <c r="E6" t="inlineStr">
        <is>
          <t>High</t>
        </is>
      </c>
      <c r="F6">
        <f>VLOOKUP(E6,Assumptions!$D$4:$E$6,2,FALSE)</f>
      </c>
      <c r="G6" t="inlineStr">
        <is>
          <t>BusinessHours</t>
        </is>
      </c>
      <c r="H6">
        <f>VLOOKUP(G6,Assumptions!$G$4:$H$6,2,FALSE)</f>
      </c>
      <c r="I6" t="inlineStr">
        <is>
          <t>Moderate</t>
        </is>
      </c>
      <c r="J6">
        <f>VLOOKUP(I6,Assumptions!$J$4:$K$6,2,FALSE)</f>
      </c>
      <c r="K6">
        <f>D6*F6*H6*J6</f>
      </c>
      <c r="L6">
        <f>B6*K6</f>
      </c>
      <c r="M6" t="inlineStr">
        <is>
          <t>Lower app-support burden if driver strategy is used.</t>
        </is>
      </c>
    </row>
    <row r="7">
      <c r="A7" t="inlineStr">
        <is>
          <t>Kafka producers / consumers</t>
        </is>
      </c>
      <c r="B7">
        <v>10</v>
      </c>
      <c r="C7" t="inlineStr">
        <is>
          <t>High</t>
        </is>
      </c>
      <c r="D7">
        <f>VLOOKUP(C7,Assumptions!$A$4:$B$6,2,FALSE)</f>
      </c>
      <c r="E7" t="inlineStr">
        <is>
          <t>Medium</t>
        </is>
      </c>
      <c r="F7">
        <f>VLOOKUP(E7,Assumptions!$D$4:$E$6,2,FALSE)</f>
      </c>
      <c r="G7" t="inlineStr">
        <is>
          <t>HighlyCritical</t>
        </is>
      </c>
      <c r="H7">
        <f>VLOOKUP(G7,Assumptions!$G$4:$H$6,2,FALSE)</f>
      </c>
      <c r="I7" t="inlineStr">
        <is>
          <t>High</t>
        </is>
      </c>
      <c r="J7">
        <f>VLOOKUP(I7,Assumptions!$J$4:$K$6,2,FALSE)</f>
      </c>
      <c r="K7">
        <f>D7*F7*H7*J7</f>
      </c>
      <c r="L7">
        <f>B7*K7</f>
      </c>
      <c r="M7" t="inlineStr">
        <is>
          <t>Shared integration support required.</t>
        </is>
      </c>
    </row>
    <row r="8">
      <c r="A8" t="inlineStr">
        <is>
          <t>Mainframe / WebSphere / Oracle</t>
        </is>
      </c>
      <c r="B8">
        <v>10</v>
      </c>
      <c r="C8" t="inlineStr">
        <is>
          <t>High</t>
        </is>
      </c>
      <c r="D8">
        <f>VLOOKUP(C8,Assumptions!$A$4:$B$6,2,FALSE)</f>
      </c>
      <c r="E8" t="inlineStr">
        <is>
          <t>Low</t>
        </is>
      </c>
      <c r="F8">
        <f>VLOOKUP(E8,Assumptions!$D$4:$E$6,2,FALSE)</f>
      </c>
      <c r="G8" t="inlineStr">
        <is>
          <t>HighlyCritical</t>
        </is>
      </c>
      <c r="H8">
        <f>VLOOKUP(G8,Assumptions!$G$4:$H$6,2,FALSE)</f>
      </c>
      <c r="I8" t="inlineStr">
        <is>
          <t>High</t>
        </is>
      </c>
      <c r="J8">
        <f>VLOOKUP(I8,Assumptions!$J$4:$K$6,2,FALSE)</f>
      </c>
      <c r="K8">
        <f>D8*F8*H8*J8</f>
      </c>
      <c r="L8">
        <f>B8*K8</f>
      </c>
      <c r="M8" t="inlineStr">
        <is>
          <t>Older middleware and cross-team coordination risk.</t>
        </is>
      </c>
    </row>
    <row r="9">
      <c r="A9" t="inlineStr">
        <is>
          <t>Databricks reveal / batch</t>
        </is>
      </c>
      <c r="B9">
        <v>10</v>
      </c>
      <c r="C9" t="inlineStr">
        <is>
          <t>Medium</t>
        </is>
      </c>
      <c r="D9">
        <f>VLOOKUP(C9,Assumptions!$A$4:$B$6,2,FALSE)</f>
      </c>
      <c r="E9" t="inlineStr">
        <is>
          <t>Medium</t>
        </is>
      </c>
      <c r="F9">
        <f>VLOOKUP(E9,Assumptions!$D$4:$E$6,2,FALSE)</f>
      </c>
      <c r="G9" t="inlineStr">
        <is>
          <t>BusinessHours</t>
        </is>
      </c>
      <c r="H9">
        <f>VLOOKUP(G9,Assumptions!$G$4:$H$6,2,FALSE)</f>
      </c>
      <c r="I9" t="inlineStr">
        <is>
          <t>High</t>
        </is>
      </c>
      <c r="J9">
        <f>VLOOKUP(I9,Assumptions!$J$4:$K$6,2,FALSE)</f>
      </c>
      <c r="K9">
        <f>D9*F9*H9*J9</f>
      </c>
      <c r="L9">
        <f>B9*K9</f>
      </c>
      <c r="M9" t="inlineStr">
        <is>
          <t>Batch and data anomaly support.</t>
        </is>
      </c>
    </row>
    <row r="10">
      <c r="A10" t="inlineStr">
        <is>
          <t>Analytics / reveal-heavy</t>
        </is>
      </c>
      <c r="B10">
        <v>10</v>
      </c>
      <c r="C10" t="inlineStr">
        <is>
          <t>High</t>
        </is>
      </c>
      <c r="D10">
        <f>VLOOKUP(C10,Assumptions!$A$4:$B$6,2,FALSE)</f>
      </c>
      <c r="E10" t="inlineStr">
        <is>
          <t>Medium</t>
        </is>
      </c>
      <c r="F10">
        <f>VLOOKUP(E10,Assumptions!$D$4:$E$6,2,FALSE)</f>
      </c>
      <c r="G10" t="inlineStr">
        <is>
          <t>Near24x7</t>
        </is>
      </c>
      <c r="H10">
        <f>VLOOKUP(G10,Assumptions!$G$4:$H$6,2,FALSE)</f>
      </c>
      <c r="I10" t="inlineStr">
        <is>
          <t>High</t>
        </is>
      </c>
      <c r="J10">
        <f>VLOOKUP(I10,Assumptions!$J$4:$K$6,2,FALSE)</f>
      </c>
      <c r="K10">
        <f>D10*F10*H10*J10</f>
      </c>
      <c r="L10">
        <f>B10*K10</f>
      </c>
      <c r="M10" t="inlineStr">
        <is>
          <t>Reveal-heavy performance review.</t>
        </is>
      </c>
    </row>
    <row r="11"/>
    <row r="12">
      <c r="A12" t="inlineStr" s="1">
        <is>
          <t>Total applications</t>
        </is>
      </c>
      <c r="B12">
        <f>SUM(B4:B10)</f>
      </c>
    </row>
    <row r="13">
      <c r="A13" t="inlineStr" s="1">
        <is>
          <t>Total monthly hours</t>
        </is>
      </c>
      <c r="B13">
        <f>SUM(L4:L10)</f>
      </c>
    </row>
    <row r="14">
      <c r="A14" t="inlineStr" s="1">
        <is>
          <t>Total annual hours</t>
        </is>
      </c>
      <c r="B14">
        <f>B13*12</f>
      </c>
    </row>
    <row r="15">
      <c r="A15" t="inlineStr" s="1">
        <is>
          <t>Estimated monthly FTE (160h)</t>
        </is>
      </c>
      <c r="B15">
        <f>B13/160</f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cols>
    <col min="1" max="1" width="32" customWidth="1"/>
    <col min="2" max="2" width="16" customWidth="1"/>
    <col min="3" max="3" width="12" customWidth="1"/>
    <col min="4" max="4" width="26" customWidth="1"/>
    <col min="5" max="5" width="14" customWidth="1"/>
    <col min="6" max="6" width="18" customWidth="1"/>
    <col min="7" max="7" width="16" customWidth="1"/>
    <col min="8" max="8" width="18" customWidth="1"/>
    <col min="9" max="9" width="18" customWidth="1"/>
    <col min="10" max="10" width="22" customWidth="1"/>
    <col min="11" max="11" width="22" customWidth="1"/>
    <col min="12" max="12" width="18" customWidth="1"/>
    <col min="13" max="13" width="62" customWidth="1"/>
  </cols>
  <sheetData>
    <row r="1">
      <c r="A1" t="inlineStr" s="1">
        <is>
          <t>50 Application Support Effort Scenario</t>
        </is>
      </c>
    </row>
    <row r="2">
      <c r="A2" t="inlineStr">
        <is>
          <t>Sample assumptions. Edit counts or multiplier labels as needed.</t>
        </is>
      </c>
    </row>
    <row r="3">
      <c r="A3" t="inlineStr" s="1">
        <is>
          <t>Use Case</t>
        </is>
      </c>
      <c r="B3" t="inlineStr" s="1">
        <is>
          <t>Application Count</t>
        </is>
      </c>
      <c r="C3" t="inlineStr" s="1">
        <is>
          <t>Complexity</t>
        </is>
      </c>
      <c r="D3" t="inlineStr" s="1">
        <is>
          <t>Base Complexity Hours / App / Month</t>
        </is>
      </c>
      <c r="E3" t="inlineStr" s="1">
        <is>
          <t>Readiness</t>
        </is>
      </c>
      <c r="F3" t="inlineStr" s="1">
        <is>
          <t>Readiness Multiplier</t>
        </is>
      </c>
      <c r="G3" t="inlineStr" s="1">
        <is>
          <t>Criticality</t>
        </is>
      </c>
      <c r="H3" t="inlineStr" s="1">
        <is>
          <t>Criticality Multiplier</t>
        </is>
      </c>
      <c r="I3" t="inlineStr" s="1">
        <is>
          <t>Data / Performance</t>
        </is>
      </c>
      <c r="J3" t="inlineStr" s="1">
        <is>
          <t>Data / Performance Multiplier</t>
        </is>
      </c>
      <c r="K3" t="inlineStr" s="1">
        <is>
          <t>Adjusted Monthly Hours / App</t>
        </is>
      </c>
      <c r="L3" t="inlineStr" s="1">
        <is>
          <t>Total Monthly Hours</t>
        </is>
      </c>
      <c r="M3" t="inlineStr" s="1">
        <is>
          <t>Notes</t>
        </is>
      </c>
    </row>
    <row r="4">
      <c r="A4" t="inlineStr">
        <is>
          <t>Front-end reference / proxy review</t>
        </is>
      </c>
      <c r="B4">
        <v>5</v>
      </c>
      <c r="C4" t="inlineStr">
        <is>
          <t>Low</t>
        </is>
      </c>
      <c r="D4">
        <f>VLOOKUP(C4,Assumptions!$A$4:$B$6,2,FALSE)</f>
      </c>
      <c r="E4" t="inlineStr">
        <is>
          <t>Medium</t>
        </is>
      </c>
      <c r="F4">
        <f>VLOOKUP(E4,Assumptions!$D$4:$E$6,2,FALSE)</f>
      </c>
      <c r="G4" t="inlineStr">
        <is>
          <t>BusinessHours</t>
        </is>
      </c>
      <c r="H4">
        <f>VLOOKUP(G4,Assumptions!$G$4:$H$6,2,FALSE)</f>
      </c>
      <c r="I4" t="inlineStr">
        <is>
          <t>Low</t>
        </is>
      </c>
      <c r="J4">
        <f>VLOOKUP(I4,Assumptions!$J$4:$K$6,2,FALSE)</f>
      </c>
      <c r="K4">
        <f>D4*F4*H4*J4</f>
      </c>
      <c r="L4">
        <f>B4*K4</f>
      </c>
      <c r="M4" t="inlineStr">
        <is>
          <t>Small residual population after assessment and rollout prioritization.</t>
        </is>
      </c>
    </row>
    <row r="5">
      <c r="A5" t="inlineStr">
        <is>
          <t>Back-end API owners</t>
        </is>
      </c>
      <c r="B5">
        <v>15</v>
      </c>
      <c r="C5" t="inlineStr">
        <is>
          <t>Medium</t>
        </is>
      </c>
      <c r="D5">
        <f>VLOOKUP(C5,Assumptions!$A$4:$B$6,2,FALSE)</f>
      </c>
      <c r="E5" t="inlineStr">
        <is>
          <t>Medium</t>
        </is>
      </c>
      <c r="F5">
        <f>VLOOKUP(E5,Assumptions!$D$4:$E$6,2,FALSE)</f>
      </c>
      <c r="G5" t="inlineStr">
        <is>
          <t>Near24x7</t>
        </is>
      </c>
      <c r="H5">
        <f>VLOOKUP(G5,Assumptions!$G$4:$H$6,2,FALSE)</f>
      </c>
      <c r="I5" t="inlineStr">
        <is>
          <t>Moderate</t>
        </is>
      </c>
      <c r="J5">
        <f>VLOOKUP(I5,Assumptions!$J$4:$K$6,2,FALSE)</f>
      </c>
      <c r="K5">
        <f>D5*F5*H5*J5</f>
      </c>
      <c r="L5">
        <f>B5*K5</f>
      </c>
      <c r="M5" t="inlineStr">
        <is>
          <t>Primary wave of back-end owners.</t>
        </is>
      </c>
    </row>
    <row r="6">
      <c r="A6" t="inlineStr">
        <is>
          <t>JDBC candidate applications</t>
        </is>
      </c>
      <c r="B6">
        <v>10</v>
      </c>
      <c r="C6" t="inlineStr">
        <is>
          <t>Low</t>
        </is>
      </c>
      <c r="D6">
        <f>VLOOKUP(C6,Assumptions!$A$4:$B$6,2,FALSE)</f>
      </c>
      <c r="E6" t="inlineStr">
        <is>
          <t>High</t>
        </is>
      </c>
      <c r="F6">
        <f>VLOOKUP(E6,Assumptions!$D$4:$E$6,2,FALSE)</f>
      </c>
      <c r="G6" t="inlineStr">
        <is>
          <t>BusinessHours</t>
        </is>
      </c>
      <c r="H6">
        <f>VLOOKUP(G6,Assumptions!$G$4:$H$6,2,FALSE)</f>
      </c>
      <c r="I6" t="inlineStr">
        <is>
          <t>Moderate</t>
        </is>
      </c>
      <c r="J6">
        <f>VLOOKUP(I6,Assumptions!$J$4:$K$6,2,FALSE)</f>
      </c>
      <c r="K6">
        <f>D6*F6*H6*J6</f>
      </c>
      <c r="L6">
        <f>B6*K6</f>
      </c>
      <c r="M6" t="inlineStr">
        <is>
          <t>Targeted lower-impact rollout group.</t>
        </is>
      </c>
    </row>
    <row r="7">
      <c r="A7" t="inlineStr">
        <is>
          <t>Kafka producers / consumers</t>
        </is>
      </c>
      <c r="B7">
        <v>5</v>
      </c>
      <c r="C7" t="inlineStr">
        <is>
          <t>High</t>
        </is>
      </c>
      <c r="D7">
        <f>VLOOKUP(C7,Assumptions!$A$4:$B$6,2,FALSE)</f>
      </c>
      <c r="E7" t="inlineStr">
        <is>
          <t>Medium</t>
        </is>
      </c>
      <c r="F7">
        <f>VLOOKUP(E7,Assumptions!$D$4:$E$6,2,FALSE)</f>
      </c>
      <c r="G7" t="inlineStr">
        <is>
          <t>HighlyCritical</t>
        </is>
      </c>
      <c r="H7">
        <f>VLOOKUP(G7,Assumptions!$G$4:$H$6,2,FALSE)</f>
      </c>
      <c r="I7" t="inlineStr">
        <is>
          <t>High</t>
        </is>
      </c>
      <c r="J7">
        <f>VLOOKUP(I7,Assumptions!$J$4:$K$6,2,FALSE)</f>
      </c>
      <c r="K7">
        <f>D7*F7*H7*J7</f>
      </c>
      <c r="L7">
        <f>B7*K7</f>
      </c>
      <c r="M7" t="inlineStr">
        <is>
          <t>Event-driven use case wave.</t>
        </is>
      </c>
    </row>
    <row r="8">
      <c r="A8" t="inlineStr">
        <is>
          <t>Mainframe / WebSphere / Oracle</t>
        </is>
      </c>
      <c r="B8">
        <v>5</v>
      </c>
      <c r="C8" t="inlineStr">
        <is>
          <t>High</t>
        </is>
      </c>
      <c r="D8">
        <f>VLOOKUP(C8,Assumptions!$A$4:$B$6,2,FALSE)</f>
      </c>
      <c r="E8" t="inlineStr">
        <is>
          <t>Low</t>
        </is>
      </c>
      <c r="F8">
        <f>VLOOKUP(E8,Assumptions!$D$4:$E$6,2,FALSE)</f>
      </c>
      <c r="G8" t="inlineStr">
        <is>
          <t>HighlyCritical</t>
        </is>
      </c>
      <c r="H8">
        <f>VLOOKUP(G8,Assumptions!$G$4:$H$6,2,FALSE)</f>
      </c>
      <c r="I8" t="inlineStr">
        <is>
          <t>High</t>
        </is>
      </c>
      <c r="J8">
        <f>VLOOKUP(I8,Assumptions!$J$4:$K$6,2,FALSE)</f>
      </c>
      <c r="K8">
        <f>D8*F8*H8*J8</f>
      </c>
      <c r="L8">
        <f>B8*K8</f>
      </c>
      <c r="M8" t="inlineStr">
        <is>
          <t>High-touch legacy integration subset.</t>
        </is>
      </c>
    </row>
    <row r="9">
      <c r="A9" t="inlineStr">
        <is>
          <t>Databricks reveal / batch</t>
        </is>
      </c>
      <c r="B9">
        <v>5</v>
      </c>
      <c r="C9" t="inlineStr">
        <is>
          <t>Medium</t>
        </is>
      </c>
      <c r="D9">
        <f>VLOOKUP(C9,Assumptions!$A$4:$B$6,2,FALSE)</f>
      </c>
      <c r="E9" t="inlineStr">
        <is>
          <t>Medium</t>
        </is>
      </c>
      <c r="F9">
        <f>VLOOKUP(E9,Assumptions!$D$4:$E$6,2,FALSE)</f>
      </c>
      <c r="G9" t="inlineStr">
        <is>
          <t>BusinessHours</t>
        </is>
      </c>
      <c r="H9">
        <f>VLOOKUP(G9,Assumptions!$G$4:$H$6,2,FALSE)</f>
      </c>
      <c r="I9" t="inlineStr">
        <is>
          <t>High</t>
        </is>
      </c>
      <c r="J9">
        <f>VLOOKUP(I9,Assumptions!$J$4:$K$6,2,FALSE)</f>
      </c>
      <c r="K9">
        <f>D9*F9*H9*J9</f>
      </c>
      <c r="L9">
        <f>B9*K9</f>
      </c>
      <c r="M9" t="inlineStr">
        <is>
          <t>Batch-focused rollout slice.</t>
        </is>
      </c>
    </row>
    <row r="10">
      <c r="A10" t="inlineStr">
        <is>
          <t>Analytics / reveal-heavy</t>
        </is>
      </c>
      <c r="B10">
        <v>5</v>
      </c>
      <c r="C10" t="inlineStr">
        <is>
          <t>High</t>
        </is>
      </c>
      <c r="D10">
        <f>VLOOKUP(C10,Assumptions!$A$4:$B$6,2,FALSE)</f>
      </c>
      <c r="E10" t="inlineStr">
        <is>
          <t>Medium</t>
        </is>
      </c>
      <c r="F10">
        <f>VLOOKUP(E10,Assumptions!$D$4:$E$6,2,FALSE)</f>
      </c>
      <c r="G10" t="inlineStr">
        <is>
          <t>Near24x7</t>
        </is>
      </c>
      <c r="H10">
        <f>VLOOKUP(G10,Assumptions!$G$4:$H$6,2,FALSE)</f>
      </c>
      <c r="I10" t="inlineStr">
        <is>
          <t>High</t>
        </is>
      </c>
      <c r="J10">
        <f>VLOOKUP(I10,Assumptions!$J$4:$K$6,2,FALSE)</f>
      </c>
      <c r="K10">
        <f>D10*F10*H10*J10</f>
      </c>
      <c r="L10">
        <f>B10*K10</f>
      </c>
      <c r="M10" t="inlineStr">
        <is>
          <t>Performance-sensitive reveal subset.</t>
        </is>
      </c>
    </row>
    <row r="11"/>
    <row r="12">
      <c r="A12" t="inlineStr" s="1">
        <is>
          <t>Total applications</t>
        </is>
      </c>
      <c r="B12">
        <f>SUM(B4:B10)</f>
      </c>
    </row>
    <row r="13">
      <c r="A13" t="inlineStr" s="1">
        <is>
          <t>Total monthly hours</t>
        </is>
      </c>
      <c r="B13">
        <f>SUM(L4:L10)</f>
      </c>
    </row>
    <row r="14">
      <c r="A14" t="inlineStr" s="1">
        <is>
          <t>Total annual hours</t>
        </is>
      </c>
      <c r="B14">
        <f>B13*12</f>
      </c>
    </row>
    <row r="15">
      <c r="A15" t="inlineStr" s="1">
        <is>
          <t>Estimated monthly FTE (160h)</t>
        </is>
      </c>
      <c r="B15">
        <f>B13/160</f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5"/>
  <cols>
    <col min="1" max="1" width="32" customWidth="1"/>
    <col min="2" max="2" width="16" customWidth="1"/>
    <col min="3" max="3" width="12" customWidth="1"/>
    <col min="4" max="4" width="26" customWidth="1"/>
    <col min="5" max="5" width="14" customWidth="1"/>
    <col min="6" max="6" width="18" customWidth="1"/>
    <col min="7" max="7" width="16" customWidth="1"/>
    <col min="8" max="8" width="18" customWidth="1"/>
    <col min="9" max="9" width="18" customWidth="1"/>
    <col min="10" max="10" width="22" customWidth="1"/>
    <col min="11" max="11" width="22" customWidth="1"/>
    <col min="12" max="12" width="18" customWidth="1"/>
    <col min="13" max="13" width="62" customWidth="1"/>
  </cols>
  <sheetData>
    <row r="1">
      <c r="A1" t="inlineStr" s="1">
        <is>
          <t>250 Application Conservative Support Effort Scenario</t>
        </is>
      </c>
    </row>
    <row r="2">
      <c r="A2" t="inlineStr">
        <is>
          <t>Sample assumptions. Edit counts or multiplier labels as needed.</t>
        </is>
      </c>
    </row>
    <row r="3">
      <c r="A3" t="inlineStr" s="1">
        <is>
          <t>Use Case</t>
        </is>
      </c>
      <c r="B3" t="inlineStr" s="1">
        <is>
          <t>Application Count</t>
        </is>
      </c>
      <c r="C3" t="inlineStr" s="1">
        <is>
          <t>Complexity</t>
        </is>
      </c>
      <c r="D3" t="inlineStr" s="1">
        <is>
          <t>Base Complexity Hours / App / Month</t>
        </is>
      </c>
      <c r="E3" t="inlineStr" s="1">
        <is>
          <t>Readiness</t>
        </is>
      </c>
      <c r="F3" t="inlineStr" s="1">
        <is>
          <t>Readiness Multiplier</t>
        </is>
      </c>
      <c r="G3" t="inlineStr" s="1">
        <is>
          <t>Criticality</t>
        </is>
      </c>
      <c r="H3" t="inlineStr" s="1">
        <is>
          <t>Criticality Multiplier</t>
        </is>
      </c>
      <c r="I3" t="inlineStr" s="1">
        <is>
          <t>Data / Performance</t>
        </is>
      </c>
      <c r="J3" t="inlineStr" s="1">
        <is>
          <t>Data / Performance Multiplier</t>
        </is>
      </c>
      <c r="K3" t="inlineStr" s="1">
        <is>
          <t>Adjusted Monthly Hours / App</t>
        </is>
      </c>
      <c r="L3" t="inlineStr" s="1">
        <is>
          <t>Total Monthly Hours</t>
        </is>
      </c>
      <c r="M3" t="inlineStr" s="1">
        <is>
          <t>Notes</t>
        </is>
      </c>
    </row>
    <row r="4">
      <c r="A4" t="inlineStr">
        <is>
          <t>Front-end reference / proxy review</t>
        </is>
      </c>
      <c r="B4">
        <v>150</v>
      </c>
      <c r="C4" t="inlineStr">
        <is>
          <t>Low</t>
        </is>
      </c>
      <c r="D4">
        <f>VLOOKUP(C4,Conservative_Assumptions!$A$4:$B$6,2,FALSE)</f>
      </c>
      <c r="E4" t="inlineStr">
        <is>
          <t>Medium</t>
        </is>
      </c>
      <c r="F4">
        <f>VLOOKUP(E4,Conservative_Assumptions!$D$4:$E$6,2,FALSE)</f>
      </c>
      <c r="G4" t="inlineStr">
        <is>
          <t>BusinessHours</t>
        </is>
      </c>
      <c r="H4">
        <f>VLOOKUP(G4,Conservative_Assumptions!$G$4:$H$6,2,FALSE)</f>
      </c>
      <c r="I4" t="inlineStr">
        <is>
          <t>Low</t>
        </is>
      </c>
      <c r="J4">
        <f>VLOOKUP(I4,Conservative_Assumptions!$J$4:$K$6,2,FALSE)</f>
      </c>
      <c r="K4">
        <f>D4*F4*H4*J4</f>
      </c>
      <c r="L4">
        <f>B4*K4</f>
      </c>
      <c r="M4" t="inlineStr">
        <is>
          <t>Many may only reference sensitive fields; assessment often removes most from true change scope.</t>
        </is>
      </c>
    </row>
    <row r="5">
      <c r="A5" t="inlineStr">
        <is>
          <t>Back-end API owners</t>
        </is>
      </c>
      <c r="B5">
        <v>30</v>
      </c>
      <c r="C5" t="inlineStr">
        <is>
          <t>Medium</t>
        </is>
      </c>
      <c r="D5">
        <f>VLOOKUP(C5,Conservative_Assumptions!$A$4:$B$6,2,FALSE)</f>
      </c>
      <c r="E5" t="inlineStr">
        <is>
          <t>Medium</t>
        </is>
      </c>
      <c r="F5">
        <f>VLOOKUP(E5,Conservative_Assumptions!$D$4:$E$6,2,FALSE)</f>
      </c>
      <c r="G5" t="inlineStr">
        <is>
          <t>Near24x7</t>
        </is>
      </c>
      <c r="H5">
        <f>VLOOKUP(G5,Conservative_Assumptions!$G$4:$H$6,2,FALSE)</f>
      </c>
      <c r="I5" t="inlineStr">
        <is>
          <t>Moderate</t>
        </is>
      </c>
      <c r="J5">
        <f>VLOOKUP(I5,Conservative_Assumptions!$J$4:$K$6,2,FALSE)</f>
      </c>
      <c r="K5">
        <f>D5*F5*H5*J5</f>
      </c>
      <c r="L5">
        <f>B5*K5</f>
      </c>
      <c r="M5" t="inlineStr">
        <is>
          <t>Primary REST and service owners after assessment.</t>
        </is>
      </c>
    </row>
    <row r="6">
      <c r="A6" t="inlineStr">
        <is>
          <t>JDBC candidate applications</t>
        </is>
      </c>
      <c r="B6">
        <v>20</v>
      </c>
      <c r="C6" t="inlineStr">
        <is>
          <t>Low</t>
        </is>
      </c>
      <c r="D6">
        <f>VLOOKUP(C6,Conservative_Assumptions!$A$4:$B$6,2,FALSE)</f>
      </c>
      <c r="E6" t="inlineStr">
        <is>
          <t>High</t>
        </is>
      </c>
      <c r="F6">
        <f>VLOOKUP(E6,Conservative_Assumptions!$D$4:$E$6,2,FALSE)</f>
      </c>
      <c r="G6" t="inlineStr">
        <is>
          <t>BusinessHours</t>
        </is>
      </c>
      <c r="H6">
        <f>VLOOKUP(G6,Conservative_Assumptions!$G$4:$H$6,2,FALSE)</f>
      </c>
      <c r="I6" t="inlineStr">
        <is>
          <t>Moderate</t>
        </is>
      </c>
      <c r="J6">
        <f>VLOOKUP(I6,Conservative_Assumptions!$J$4:$K$6,2,FALSE)</f>
      </c>
      <c r="K6">
        <f>D6*F6*H6*J6</f>
      </c>
      <c r="L6">
        <f>B6*K6</f>
      </c>
      <c r="M6" t="inlineStr">
        <is>
          <t>Lower incremental support if driver-based coverage is feasible.</t>
        </is>
      </c>
    </row>
    <row r="7">
      <c r="A7" t="inlineStr">
        <is>
          <t>Kafka producers / consumers</t>
        </is>
      </c>
      <c r="B7">
        <v>10</v>
      </c>
      <c r="C7" t="inlineStr">
        <is>
          <t>High</t>
        </is>
      </c>
      <c r="D7">
        <f>VLOOKUP(C7,Conservative_Assumptions!$A$4:$B$6,2,FALSE)</f>
      </c>
      <c r="E7" t="inlineStr">
        <is>
          <t>Medium</t>
        </is>
      </c>
      <c r="F7">
        <f>VLOOKUP(E7,Conservative_Assumptions!$D$4:$E$6,2,FALSE)</f>
      </c>
      <c r="G7" t="inlineStr">
        <is>
          <t>HighlyCritical</t>
        </is>
      </c>
      <c r="H7">
        <f>VLOOKUP(G7,Conservative_Assumptions!$G$4:$H$6,2,FALSE)</f>
      </c>
      <c r="I7" t="inlineStr">
        <is>
          <t>High</t>
        </is>
      </c>
      <c r="J7">
        <f>VLOOKUP(I7,Conservative_Assumptions!$J$4:$K$6,2,FALSE)</f>
      </c>
      <c r="K7">
        <f>D7*F7*H7*J7</f>
      </c>
      <c r="L7">
        <f>B7*K7</f>
      </c>
      <c r="M7" t="inlineStr">
        <is>
          <t>Message-contract, replay, and reveal/protect troubleshooting sensitivity.</t>
        </is>
      </c>
    </row>
    <row r="8">
      <c r="A8" t="inlineStr">
        <is>
          <t>Mainframe / WebSphere / Oracle</t>
        </is>
      </c>
      <c r="B8">
        <v>10</v>
      </c>
      <c r="C8" t="inlineStr">
        <is>
          <t>High</t>
        </is>
      </c>
      <c r="D8">
        <f>VLOOKUP(C8,Conservative_Assumptions!$A$4:$B$6,2,FALSE)</f>
      </c>
      <c r="E8" t="inlineStr">
        <is>
          <t>Low</t>
        </is>
      </c>
      <c r="F8">
        <f>VLOOKUP(E8,Conservative_Assumptions!$D$4:$E$6,2,FALSE)</f>
      </c>
      <c r="G8" t="inlineStr">
        <is>
          <t>HighlyCritical</t>
        </is>
      </c>
      <c r="H8">
        <f>VLOOKUP(G8,Conservative_Assumptions!$G$4:$H$6,2,FALSE)</f>
      </c>
      <c r="I8" t="inlineStr">
        <is>
          <t>High</t>
        </is>
      </c>
      <c r="J8">
        <f>VLOOKUP(I8,Conservative_Assumptions!$J$4:$K$6,2,FALSE)</f>
      </c>
      <c r="K8">
        <f>D8*F8*H8*J8</f>
      </c>
      <c r="L8">
        <f>B8*K8</f>
      </c>
      <c r="M8" t="inlineStr">
        <is>
          <t>Cross-platform support and contractor-readiness risk.</t>
        </is>
      </c>
    </row>
    <row r="9">
      <c r="A9" t="inlineStr">
        <is>
          <t>Databricks reveal / batch</t>
        </is>
      </c>
      <c r="B9">
        <v>20</v>
      </c>
      <c r="C9" t="inlineStr">
        <is>
          <t>Medium</t>
        </is>
      </c>
      <c r="D9">
        <f>VLOOKUP(C9,Conservative_Assumptions!$A$4:$B$6,2,FALSE)</f>
      </c>
      <c r="E9" t="inlineStr">
        <is>
          <t>Medium</t>
        </is>
      </c>
      <c r="F9">
        <f>VLOOKUP(E9,Conservative_Assumptions!$D$4:$E$6,2,FALSE)</f>
      </c>
      <c r="G9" t="inlineStr">
        <is>
          <t>BusinessHours</t>
        </is>
      </c>
      <c r="H9">
        <f>VLOOKUP(G9,Conservative_Assumptions!$G$4:$H$6,2,FALSE)</f>
      </c>
      <c r="I9" t="inlineStr">
        <is>
          <t>High</t>
        </is>
      </c>
      <c r="J9">
        <f>VLOOKUP(I9,Conservative_Assumptions!$J$4:$K$6,2,FALSE)</f>
      </c>
      <c r="K9">
        <f>D9*F9*H9*J9</f>
      </c>
      <c r="L9">
        <f>B9*K9</f>
      </c>
      <c r="M9" t="inlineStr">
        <is>
          <t>Batch windows and downstream analytics dependencies.</t>
        </is>
      </c>
    </row>
    <row r="10">
      <c r="A10" t="inlineStr">
        <is>
          <t>Analytics / reveal-heavy</t>
        </is>
      </c>
      <c r="B10">
        <v>10</v>
      </c>
      <c r="C10" t="inlineStr">
        <is>
          <t>High</t>
        </is>
      </c>
      <c r="D10">
        <f>VLOOKUP(C10,Conservative_Assumptions!$A$4:$B$6,2,FALSE)</f>
      </c>
      <c r="E10" t="inlineStr">
        <is>
          <t>Medium</t>
        </is>
      </c>
      <c r="F10">
        <f>VLOOKUP(E10,Conservative_Assumptions!$D$4:$E$6,2,FALSE)</f>
      </c>
      <c r="G10" t="inlineStr">
        <is>
          <t>Near24x7</t>
        </is>
      </c>
      <c r="H10">
        <f>VLOOKUP(G10,Conservative_Assumptions!$G$4:$H$6,2,FALSE)</f>
      </c>
      <c r="I10" t="inlineStr">
        <is>
          <t>High</t>
        </is>
      </c>
      <c r="J10">
        <f>VLOOKUP(I10,Conservative_Assumptions!$J$4:$K$6,2,FALSE)</f>
      </c>
      <c r="K10">
        <f>D10*F10*H10*J10</f>
      </c>
      <c r="L10">
        <f>B10*K10</f>
      </c>
      <c r="M10" t="inlineStr">
        <is>
          <t>Large result sets and performance sensitivity.</t>
        </is>
      </c>
    </row>
    <row r="11"/>
    <row r="12">
      <c r="A12" t="inlineStr" s="1">
        <is>
          <t>Total applications</t>
        </is>
      </c>
      <c r="B12">
        <f>SUM(B4:B10)</f>
      </c>
    </row>
    <row r="13">
      <c r="A13" t="inlineStr" s="1">
        <is>
          <t>Total monthly hours</t>
        </is>
      </c>
      <c r="B13">
        <f>SUM(L4:L10)</f>
      </c>
    </row>
    <row r="14">
      <c r="A14" t="inlineStr" s="1">
        <is>
          <t>Total annual hours</t>
        </is>
      </c>
      <c r="B14">
        <f>B13*12</f>
      </c>
    </row>
    <row r="15">
      <c r="A15" t="inlineStr" s="1">
        <is>
          <t>Estimated monthly FTE (160h)</t>
        </is>
      </c>
      <c r="B15">
        <f>B13/160</f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cols>
    <col min="1" max="1" width="32" customWidth="1"/>
    <col min="2" max="2" width="16" customWidth="1"/>
    <col min="3" max="3" width="12" customWidth="1"/>
    <col min="4" max="4" width="26" customWidth="1"/>
    <col min="5" max="5" width="14" customWidth="1"/>
    <col min="6" max="6" width="18" customWidth="1"/>
    <col min="7" max="7" width="16" customWidth="1"/>
    <col min="8" max="8" width="18" customWidth="1"/>
    <col min="9" max="9" width="18" customWidth="1"/>
    <col min="10" max="10" width="22" customWidth="1"/>
    <col min="11" max="11" width="22" customWidth="1"/>
    <col min="12" max="12" width="18" customWidth="1"/>
    <col min="13" max="13" width="62" customWidth="1"/>
  </cols>
  <sheetData>
    <row r="1">
      <c r="A1" t="inlineStr" s="1">
        <is>
          <t>100 Application Conservative Support Effort Scenario</t>
        </is>
      </c>
    </row>
    <row r="2">
      <c r="A2" t="inlineStr">
        <is>
          <t>Sample assumptions. Edit counts or multiplier labels as needed.</t>
        </is>
      </c>
    </row>
    <row r="3">
      <c r="A3" t="inlineStr" s="1">
        <is>
          <t>Use Case</t>
        </is>
      </c>
      <c r="B3" t="inlineStr" s="1">
        <is>
          <t>Application Count</t>
        </is>
      </c>
      <c r="C3" t="inlineStr" s="1">
        <is>
          <t>Complexity</t>
        </is>
      </c>
      <c r="D3" t="inlineStr" s="1">
        <is>
          <t>Base Complexity Hours / App / Month</t>
        </is>
      </c>
      <c r="E3" t="inlineStr" s="1">
        <is>
          <t>Readiness</t>
        </is>
      </c>
      <c r="F3" t="inlineStr" s="1">
        <is>
          <t>Readiness Multiplier</t>
        </is>
      </c>
      <c r="G3" t="inlineStr" s="1">
        <is>
          <t>Criticality</t>
        </is>
      </c>
      <c r="H3" t="inlineStr" s="1">
        <is>
          <t>Criticality Multiplier</t>
        </is>
      </c>
      <c r="I3" t="inlineStr" s="1">
        <is>
          <t>Data / Performance</t>
        </is>
      </c>
      <c r="J3" t="inlineStr" s="1">
        <is>
          <t>Data / Performance Multiplier</t>
        </is>
      </c>
      <c r="K3" t="inlineStr" s="1">
        <is>
          <t>Adjusted Monthly Hours / App</t>
        </is>
      </c>
      <c r="L3" t="inlineStr" s="1">
        <is>
          <t>Total Monthly Hours</t>
        </is>
      </c>
      <c r="M3" t="inlineStr" s="1">
        <is>
          <t>Notes</t>
        </is>
      </c>
    </row>
    <row r="4">
      <c r="A4" t="inlineStr">
        <is>
          <t>Front-end reference / proxy review</t>
        </is>
      </c>
      <c r="B4">
        <v>20</v>
      </c>
      <c r="C4" t="inlineStr">
        <is>
          <t>Low</t>
        </is>
      </c>
      <c r="D4">
        <f>VLOOKUP(C4,Conservative_Assumptions!$A$4:$B$6,2,FALSE)</f>
      </c>
      <c r="E4" t="inlineStr">
        <is>
          <t>Medium</t>
        </is>
      </c>
      <c r="F4">
        <f>VLOOKUP(E4,Conservative_Assumptions!$D$4:$E$6,2,FALSE)</f>
      </c>
      <c r="G4" t="inlineStr">
        <is>
          <t>BusinessHours</t>
        </is>
      </c>
      <c r="H4">
        <f>VLOOKUP(G4,Conservative_Assumptions!$G$4:$H$6,2,FALSE)</f>
      </c>
      <c r="I4" t="inlineStr">
        <is>
          <t>Low</t>
        </is>
      </c>
      <c r="J4">
        <f>VLOOKUP(I4,Conservative_Assumptions!$J$4:$K$6,2,FALSE)</f>
      </c>
      <c r="K4">
        <f>D4*F4*H4*J4</f>
      </c>
      <c r="L4">
        <f>B4*K4</f>
      </c>
      <c r="M4" t="inlineStr">
        <is>
          <t>Reduced scope after ownership analysis.</t>
        </is>
      </c>
    </row>
    <row r="5">
      <c r="A5" t="inlineStr">
        <is>
          <t>Back-end API owners</t>
        </is>
      </c>
      <c r="B5">
        <v>25</v>
      </c>
      <c r="C5" t="inlineStr">
        <is>
          <t>Medium</t>
        </is>
      </c>
      <c r="D5">
        <f>VLOOKUP(C5,Conservative_Assumptions!$A$4:$B$6,2,FALSE)</f>
      </c>
      <c r="E5" t="inlineStr">
        <is>
          <t>Medium</t>
        </is>
      </c>
      <c r="F5">
        <f>VLOOKUP(E5,Conservative_Assumptions!$D$4:$E$6,2,FALSE)</f>
      </c>
      <c r="G5" t="inlineStr">
        <is>
          <t>Near24x7</t>
        </is>
      </c>
      <c r="H5">
        <f>VLOOKUP(G5,Conservative_Assumptions!$G$4:$H$6,2,FALSE)</f>
      </c>
      <c r="I5" t="inlineStr">
        <is>
          <t>Moderate</t>
        </is>
      </c>
      <c r="J5">
        <f>VLOOKUP(I5,Conservative_Assumptions!$J$4:$K$6,2,FALSE)</f>
      </c>
      <c r="K5">
        <f>D5*F5*H5*J5</f>
      </c>
      <c r="L5">
        <f>B5*K5</f>
      </c>
      <c r="M5" t="inlineStr">
        <is>
          <t>Likely true REST and business-logic change owners.</t>
        </is>
      </c>
    </row>
    <row r="6">
      <c r="A6" t="inlineStr">
        <is>
          <t>JDBC candidate applications</t>
        </is>
      </c>
      <c r="B6">
        <v>15</v>
      </c>
      <c r="C6" t="inlineStr">
        <is>
          <t>Low</t>
        </is>
      </c>
      <c r="D6">
        <f>VLOOKUP(C6,Conservative_Assumptions!$A$4:$B$6,2,FALSE)</f>
      </c>
      <c r="E6" t="inlineStr">
        <is>
          <t>High</t>
        </is>
      </c>
      <c r="F6">
        <f>VLOOKUP(E6,Conservative_Assumptions!$D$4:$E$6,2,FALSE)</f>
      </c>
      <c r="G6" t="inlineStr">
        <is>
          <t>BusinessHours</t>
        </is>
      </c>
      <c r="H6">
        <f>VLOOKUP(G6,Conservative_Assumptions!$G$4:$H$6,2,FALSE)</f>
      </c>
      <c r="I6" t="inlineStr">
        <is>
          <t>Moderate</t>
        </is>
      </c>
      <c r="J6">
        <f>VLOOKUP(I6,Conservative_Assumptions!$J$4:$K$6,2,FALSE)</f>
      </c>
      <c r="K6">
        <f>D6*F6*H6*J6</f>
      </c>
      <c r="L6">
        <f>B6*K6</f>
      </c>
      <c r="M6" t="inlineStr">
        <is>
          <t>Lower app-support burden if driver strategy is used.</t>
        </is>
      </c>
    </row>
    <row r="7">
      <c r="A7" t="inlineStr">
        <is>
          <t>Kafka producers / consumers</t>
        </is>
      </c>
      <c r="B7">
        <v>10</v>
      </c>
      <c r="C7" t="inlineStr">
        <is>
          <t>High</t>
        </is>
      </c>
      <c r="D7">
        <f>VLOOKUP(C7,Conservative_Assumptions!$A$4:$B$6,2,FALSE)</f>
      </c>
      <c r="E7" t="inlineStr">
        <is>
          <t>Medium</t>
        </is>
      </c>
      <c r="F7">
        <f>VLOOKUP(E7,Conservative_Assumptions!$D$4:$E$6,2,FALSE)</f>
      </c>
      <c r="G7" t="inlineStr">
        <is>
          <t>HighlyCritical</t>
        </is>
      </c>
      <c r="H7">
        <f>VLOOKUP(G7,Conservative_Assumptions!$G$4:$H$6,2,FALSE)</f>
      </c>
      <c r="I7" t="inlineStr">
        <is>
          <t>High</t>
        </is>
      </c>
      <c r="J7">
        <f>VLOOKUP(I7,Conservative_Assumptions!$J$4:$K$6,2,FALSE)</f>
      </c>
      <c r="K7">
        <f>D7*F7*H7*J7</f>
      </c>
      <c r="L7">
        <f>B7*K7</f>
      </c>
      <c r="M7" t="inlineStr">
        <is>
          <t>Shared integration support required.</t>
        </is>
      </c>
    </row>
    <row r="8">
      <c r="A8" t="inlineStr">
        <is>
          <t>Mainframe / WebSphere / Oracle</t>
        </is>
      </c>
      <c r="B8">
        <v>10</v>
      </c>
      <c r="C8" t="inlineStr">
        <is>
          <t>High</t>
        </is>
      </c>
      <c r="D8">
        <f>VLOOKUP(C8,Conservative_Assumptions!$A$4:$B$6,2,FALSE)</f>
      </c>
      <c r="E8" t="inlineStr">
        <is>
          <t>Low</t>
        </is>
      </c>
      <c r="F8">
        <f>VLOOKUP(E8,Conservative_Assumptions!$D$4:$E$6,2,FALSE)</f>
      </c>
      <c r="G8" t="inlineStr">
        <is>
          <t>HighlyCritical</t>
        </is>
      </c>
      <c r="H8">
        <f>VLOOKUP(G8,Conservative_Assumptions!$G$4:$H$6,2,FALSE)</f>
      </c>
      <c r="I8" t="inlineStr">
        <is>
          <t>High</t>
        </is>
      </c>
      <c r="J8">
        <f>VLOOKUP(I8,Conservative_Assumptions!$J$4:$K$6,2,FALSE)</f>
      </c>
      <c r="K8">
        <f>D8*F8*H8*J8</f>
      </c>
      <c r="L8">
        <f>B8*K8</f>
      </c>
      <c r="M8" t="inlineStr">
        <is>
          <t>Older middleware and cross-team coordination risk.</t>
        </is>
      </c>
    </row>
    <row r="9">
      <c r="A9" t="inlineStr">
        <is>
          <t>Databricks reveal / batch</t>
        </is>
      </c>
      <c r="B9">
        <v>10</v>
      </c>
      <c r="C9" t="inlineStr">
        <is>
          <t>Medium</t>
        </is>
      </c>
      <c r="D9">
        <f>VLOOKUP(C9,Conservative_Assumptions!$A$4:$B$6,2,FALSE)</f>
      </c>
      <c r="E9" t="inlineStr">
        <is>
          <t>Medium</t>
        </is>
      </c>
      <c r="F9">
        <f>VLOOKUP(E9,Conservative_Assumptions!$D$4:$E$6,2,FALSE)</f>
      </c>
      <c r="G9" t="inlineStr">
        <is>
          <t>BusinessHours</t>
        </is>
      </c>
      <c r="H9">
        <f>VLOOKUP(G9,Conservative_Assumptions!$G$4:$H$6,2,FALSE)</f>
      </c>
      <c r="I9" t="inlineStr">
        <is>
          <t>High</t>
        </is>
      </c>
      <c r="J9">
        <f>VLOOKUP(I9,Conservative_Assumptions!$J$4:$K$6,2,FALSE)</f>
      </c>
      <c r="K9">
        <f>D9*F9*H9*J9</f>
      </c>
      <c r="L9">
        <f>B9*K9</f>
      </c>
      <c r="M9" t="inlineStr">
        <is>
          <t>Batch and data anomaly support.</t>
        </is>
      </c>
    </row>
    <row r="10">
      <c r="A10" t="inlineStr">
        <is>
          <t>Analytics / reveal-heavy</t>
        </is>
      </c>
      <c r="B10">
        <v>10</v>
      </c>
      <c r="C10" t="inlineStr">
        <is>
          <t>High</t>
        </is>
      </c>
      <c r="D10">
        <f>VLOOKUP(C10,Conservative_Assumptions!$A$4:$B$6,2,FALSE)</f>
      </c>
      <c r="E10" t="inlineStr">
        <is>
          <t>Medium</t>
        </is>
      </c>
      <c r="F10">
        <f>VLOOKUP(E10,Conservative_Assumptions!$D$4:$E$6,2,FALSE)</f>
      </c>
      <c r="G10" t="inlineStr">
        <is>
          <t>Near24x7</t>
        </is>
      </c>
      <c r="H10">
        <f>VLOOKUP(G10,Conservative_Assumptions!$G$4:$H$6,2,FALSE)</f>
      </c>
      <c r="I10" t="inlineStr">
        <is>
          <t>High</t>
        </is>
      </c>
      <c r="J10">
        <f>VLOOKUP(I10,Conservative_Assumptions!$J$4:$K$6,2,FALSE)</f>
      </c>
      <c r="K10">
        <f>D10*F10*H10*J10</f>
      </c>
      <c r="L10">
        <f>B10*K10</f>
      </c>
      <c r="M10" t="inlineStr">
        <is>
          <t>Reveal-heavy performance review.</t>
        </is>
      </c>
    </row>
    <row r="11"/>
    <row r="12">
      <c r="A12" t="inlineStr" s="1">
        <is>
          <t>Total applications</t>
        </is>
      </c>
      <c r="B12">
        <f>SUM(B4:B10)</f>
      </c>
    </row>
    <row r="13">
      <c r="A13" t="inlineStr" s="1">
        <is>
          <t>Total monthly hours</t>
        </is>
      </c>
      <c r="B13">
        <f>SUM(L4:L10)</f>
      </c>
    </row>
    <row r="14">
      <c r="A14" t="inlineStr" s="1">
        <is>
          <t>Total annual hours</t>
        </is>
      </c>
      <c r="B14">
        <f>B13*12</f>
      </c>
    </row>
    <row r="15">
      <c r="A15" t="inlineStr" s="1">
        <is>
          <t>Estimated monthly FTE (160h)</t>
        </is>
      </c>
      <c r="B15">
        <f>B13/160</f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5"/>
  <cols>
    <col min="1" max="1" width="32" customWidth="1"/>
    <col min="2" max="2" width="16" customWidth="1"/>
    <col min="3" max="3" width="12" customWidth="1"/>
    <col min="4" max="4" width="26" customWidth="1"/>
    <col min="5" max="5" width="14" customWidth="1"/>
    <col min="6" max="6" width="18" customWidth="1"/>
    <col min="7" max="7" width="16" customWidth="1"/>
    <col min="8" max="8" width="18" customWidth="1"/>
    <col min="9" max="9" width="18" customWidth="1"/>
    <col min="10" max="10" width="22" customWidth="1"/>
    <col min="11" max="11" width="22" customWidth="1"/>
    <col min="12" max="12" width="18" customWidth="1"/>
    <col min="13" max="13" width="62" customWidth="1"/>
  </cols>
  <sheetData>
    <row r="1">
      <c r="A1" t="inlineStr" s="1">
        <is>
          <t>50 Application Conservative Support Effort Scenario</t>
        </is>
      </c>
    </row>
    <row r="2">
      <c r="A2" t="inlineStr">
        <is>
          <t>Sample assumptions. Edit counts or multiplier labels as needed.</t>
        </is>
      </c>
    </row>
    <row r="3">
      <c r="A3" t="inlineStr" s="1">
        <is>
          <t>Use Case</t>
        </is>
      </c>
      <c r="B3" t="inlineStr" s="1">
        <is>
          <t>Application Count</t>
        </is>
      </c>
      <c r="C3" t="inlineStr" s="1">
        <is>
          <t>Complexity</t>
        </is>
      </c>
      <c r="D3" t="inlineStr" s="1">
        <is>
          <t>Base Complexity Hours / App / Month</t>
        </is>
      </c>
      <c r="E3" t="inlineStr" s="1">
        <is>
          <t>Readiness</t>
        </is>
      </c>
      <c r="F3" t="inlineStr" s="1">
        <is>
          <t>Readiness Multiplier</t>
        </is>
      </c>
      <c r="G3" t="inlineStr" s="1">
        <is>
          <t>Criticality</t>
        </is>
      </c>
      <c r="H3" t="inlineStr" s="1">
        <is>
          <t>Criticality Multiplier</t>
        </is>
      </c>
      <c r="I3" t="inlineStr" s="1">
        <is>
          <t>Data / Performance</t>
        </is>
      </c>
      <c r="J3" t="inlineStr" s="1">
        <is>
          <t>Data / Performance Multiplier</t>
        </is>
      </c>
      <c r="K3" t="inlineStr" s="1">
        <is>
          <t>Adjusted Monthly Hours / App</t>
        </is>
      </c>
      <c r="L3" t="inlineStr" s="1">
        <is>
          <t>Total Monthly Hours</t>
        </is>
      </c>
      <c r="M3" t="inlineStr" s="1">
        <is>
          <t>Notes</t>
        </is>
      </c>
    </row>
    <row r="4">
      <c r="A4" t="inlineStr">
        <is>
          <t>Front-end reference / proxy review</t>
        </is>
      </c>
      <c r="B4">
        <v>5</v>
      </c>
      <c r="C4" t="inlineStr">
        <is>
          <t>Low</t>
        </is>
      </c>
      <c r="D4">
        <f>VLOOKUP(C4,Conservative_Assumptions!$A$4:$B$6,2,FALSE)</f>
      </c>
      <c r="E4" t="inlineStr">
        <is>
          <t>Medium</t>
        </is>
      </c>
      <c r="F4">
        <f>VLOOKUP(E4,Conservative_Assumptions!$D$4:$E$6,2,FALSE)</f>
      </c>
      <c r="G4" t="inlineStr">
        <is>
          <t>BusinessHours</t>
        </is>
      </c>
      <c r="H4">
        <f>VLOOKUP(G4,Conservative_Assumptions!$G$4:$H$6,2,FALSE)</f>
      </c>
      <c r="I4" t="inlineStr">
        <is>
          <t>Low</t>
        </is>
      </c>
      <c r="J4">
        <f>VLOOKUP(I4,Conservative_Assumptions!$J$4:$K$6,2,FALSE)</f>
      </c>
      <c r="K4">
        <f>D4*F4*H4*J4</f>
      </c>
      <c r="L4">
        <f>B4*K4</f>
      </c>
      <c r="M4" t="inlineStr">
        <is>
          <t>Small residual population after assessment and rollout prioritization.</t>
        </is>
      </c>
    </row>
    <row r="5">
      <c r="A5" t="inlineStr">
        <is>
          <t>Back-end API owners</t>
        </is>
      </c>
      <c r="B5">
        <v>15</v>
      </c>
      <c r="C5" t="inlineStr">
        <is>
          <t>Medium</t>
        </is>
      </c>
      <c r="D5">
        <f>VLOOKUP(C5,Conservative_Assumptions!$A$4:$B$6,2,FALSE)</f>
      </c>
      <c r="E5" t="inlineStr">
        <is>
          <t>Medium</t>
        </is>
      </c>
      <c r="F5">
        <f>VLOOKUP(E5,Conservative_Assumptions!$D$4:$E$6,2,FALSE)</f>
      </c>
      <c r="G5" t="inlineStr">
        <is>
          <t>Near24x7</t>
        </is>
      </c>
      <c r="H5">
        <f>VLOOKUP(G5,Conservative_Assumptions!$G$4:$H$6,2,FALSE)</f>
      </c>
      <c r="I5" t="inlineStr">
        <is>
          <t>Moderate</t>
        </is>
      </c>
      <c r="J5">
        <f>VLOOKUP(I5,Conservative_Assumptions!$J$4:$K$6,2,FALSE)</f>
      </c>
      <c r="K5">
        <f>D5*F5*H5*J5</f>
      </c>
      <c r="L5">
        <f>B5*K5</f>
      </c>
      <c r="M5" t="inlineStr">
        <is>
          <t>Primary wave of back-end owners.</t>
        </is>
      </c>
    </row>
    <row r="6">
      <c r="A6" t="inlineStr">
        <is>
          <t>JDBC candidate applications</t>
        </is>
      </c>
      <c r="B6">
        <v>10</v>
      </c>
      <c r="C6" t="inlineStr">
        <is>
          <t>Low</t>
        </is>
      </c>
      <c r="D6">
        <f>VLOOKUP(C6,Conservative_Assumptions!$A$4:$B$6,2,FALSE)</f>
      </c>
      <c r="E6" t="inlineStr">
        <is>
          <t>High</t>
        </is>
      </c>
      <c r="F6">
        <f>VLOOKUP(E6,Conservative_Assumptions!$D$4:$E$6,2,FALSE)</f>
      </c>
      <c r="G6" t="inlineStr">
        <is>
          <t>BusinessHours</t>
        </is>
      </c>
      <c r="H6">
        <f>VLOOKUP(G6,Conservative_Assumptions!$G$4:$H$6,2,FALSE)</f>
      </c>
      <c r="I6" t="inlineStr">
        <is>
          <t>Moderate</t>
        </is>
      </c>
      <c r="J6">
        <f>VLOOKUP(I6,Conservative_Assumptions!$J$4:$K$6,2,FALSE)</f>
      </c>
      <c r="K6">
        <f>D6*F6*H6*J6</f>
      </c>
      <c r="L6">
        <f>B6*K6</f>
      </c>
      <c r="M6" t="inlineStr">
        <is>
          <t>Targeted lower-impact rollout group.</t>
        </is>
      </c>
    </row>
    <row r="7">
      <c r="A7" t="inlineStr">
        <is>
          <t>Kafka producers / consumers</t>
        </is>
      </c>
      <c r="B7">
        <v>5</v>
      </c>
      <c r="C7" t="inlineStr">
        <is>
          <t>High</t>
        </is>
      </c>
      <c r="D7">
        <f>VLOOKUP(C7,Conservative_Assumptions!$A$4:$B$6,2,FALSE)</f>
      </c>
      <c r="E7" t="inlineStr">
        <is>
          <t>Medium</t>
        </is>
      </c>
      <c r="F7">
        <f>VLOOKUP(E7,Conservative_Assumptions!$D$4:$E$6,2,FALSE)</f>
      </c>
      <c r="G7" t="inlineStr">
        <is>
          <t>HighlyCritical</t>
        </is>
      </c>
      <c r="H7">
        <f>VLOOKUP(G7,Conservative_Assumptions!$G$4:$H$6,2,FALSE)</f>
      </c>
      <c r="I7" t="inlineStr">
        <is>
          <t>High</t>
        </is>
      </c>
      <c r="J7">
        <f>VLOOKUP(I7,Conservative_Assumptions!$J$4:$K$6,2,FALSE)</f>
      </c>
      <c r="K7">
        <f>D7*F7*H7*J7</f>
      </c>
      <c r="L7">
        <f>B7*K7</f>
      </c>
      <c r="M7" t="inlineStr">
        <is>
          <t>Event-driven use case wave.</t>
        </is>
      </c>
    </row>
    <row r="8">
      <c r="A8" t="inlineStr">
        <is>
          <t>Mainframe / WebSphere / Oracle</t>
        </is>
      </c>
      <c r="B8">
        <v>5</v>
      </c>
      <c r="C8" t="inlineStr">
        <is>
          <t>High</t>
        </is>
      </c>
      <c r="D8">
        <f>VLOOKUP(C8,Conservative_Assumptions!$A$4:$B$6,2,FALSE)</f>
      </c>
      <c r="E8" t="inlineStr">
        <is>
          <t>Low</t>
        </is>
      </c>
      <c r="F8">
        <f>VLOOKUP(E8,Conservative_Assumptions!$D$4:$E$6,2,FALSE)</f>
      </c>
      <c r="G8" t="inlineStr">
        <is>
          <t>HighlyCritical</t>
        </is>
      </c>
      <c r="H8">
        <f>VLOOKUP(G8,Conservative_Assumptions!$G$4:$H$6,2,FALSE)</f>
      </c>
      <c r="I8" t="inlineStr">
        <is>
          <t>High</t>
        </is>
      </c>
      <c r="J8">
        <f>VLOOKUP(I8,Conservative_Assumptions!$J$4:$K$6,2,FALSE)</f>
      </c>
      <c r="K8">
        <f>D8*F8*H8*J8</f>
      </c>
      <c r="L8">
        <f>B8*K8</f>
      </c>
      <c r="M8" t="inlineStr">
        <is>
          <t>High-touch legacy integration subset.</t>
        </is>
      </c>
    </row>
    <row r="9">
      <c r="A9" t="inlineStr">
        <is>
          <t>Databricks reveal / batch</t>
        </is>
      </c>
      <c r="B9">
        <v>5</v>
      </c>
      <c r="C9" t="inlineStr">
        <is>
          <t>Medium</t>
        </is>
      </c>
      <c r="D9">
        <f>VLOOKUP(C9,Conservative_Assumptions!$A$4:$B$6,2,FALSE)</f>
      </c>
      <c r="E9" t="inlineStr">
        <is>
          <t>Medium</t>
        </is>
      </c>
      <c r="F9">
        <f>VLOOKUP(E9,Conservative_Assumptions!$D$4:$E$6,2,FALSE)</f>
      </c>
      <c r="G9" t="inlineStr">
        <is>
          <t>BusinessHours</t>
        </is>
      </c>
      <c r="H9">
        <f>VLOOKUP(G9,Conservative_Assumptions!$G$4:$H$6,2,FALSE)</f>
      </c>
      <c r="I9" t="inlineStr">
        <is>
          <t>High</t>
        </is>
      </c>
      <c r="J9">
        <f>VLOOKUP(I9,Conservative_Assumptions!$J$4:$K$6,2,FALSE)</f>
      </c>
      <c r="K9">
        <f>D9*F9*H9*J9</f>
      </c>
      <c r="L9">
        <f>B9*K9</f>
      </c>
      <c r="M9" t="inlineStr">
        <is>
          <t>Batch-focused rollout slice.</t>
        </is>
      </c>
    </row>
    <row r="10">
      <c r="A10" t="inlineStr">
        <is>
          <t>Analytics / reveal-heavy</t>
        </is>
      </c>
      <c r="B10">
        <v>5</v>
      </c>
      <c r="C10" t="inlineStr">
        <is>
          <t>High</t>
        </is>
      </c>
      <c r="D10">
        <f>VLOOKUP(C10,Conservative_Assumptions!$A$4:$B$6,2,FALSE)</f>
      </c>
      <c r="E10" t="inlineStr">
        <is>
          <t>Medium</t>
        </is>
      </c>
      <c r="F10">
        <f>VLOOKUP(E10,Conservative_Assumptions!$D$4:$E$6,2,FALSE)</f>
      </c>
      <c r="G10" t="inlineStr">
        <is>
          <t>Near24x7</t>
        </is>
      </c>
      <c r="H10">
        <f>VLOOKUP(G10,Conservative_Assumptions!$G$4:$H$6,2,FALSE)</f>
      </c>
      <c r="I10" t="inlineStr">
        <is>
          <t>High</t>
        </is>
      </c>
      <c r="J10">
        <f>VLOOKUP(I10,Conservative_Assumptions!$J$4:$K$6,2,FALSE)</f>
      </c>
      <c r="K10">
        <f>D10*F10*H10*J10</f>
      </c>
      <c r="L10">
        <f>B10*K10</f>
      </c>
      <c r="M10" t="inlineStr">
        <is>
          <t>Performance-sensitive reveal subset.</t>
        </is>
      </c>
    </row>
    <row r="11"/>
    <row r="12">
      <c r="A12" t="inlineStr" s="1">
        <is>
          <t>Total applications</t>
        </is>
      </c>
      <c r="B12">
        <f>SUM(B4:B10)</f>
      </c>
    </row>
    <row r="13">
      <c r="A13" t="inlineStr" s="1">
        <is>
          <t>Total monthly hours</t>
        </is>
      </c>
      <c r="B13">
        <f>SUM(L4:L10)</f>
      </c>
    </row>
    <row r="14">
      <c r="A14" t="inlineStr" s="1">
        <is>
          <t>Total annual hours</t>
        </is>
      </c>
      <c r="B14">
        <f>B13*12</f>
      </c>
    </row>
    <row r="15">
      <c r="A15" t="inlineStr" s="1">
        <is>
          <t>Estimated monthly FTE (160h)</t>
        </is>
      </c>
      <c r="B15">
        <f>B13/160</f>
      </c>
    </row>
  </sheetData>
</worksheet>
</file>

<file path=xl/worksheets/sheet11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4" customWidth="1"/>
    <col min="3" max="3" width="22" customWidth="1"/>
    <col min="4" max="4" width="22" customWidth="1"/>
    <col min="5" max="5" width="22" customWidth="1"/>
    <col min="6" max="6" width="70" customWidth="1"/>
  </cols>
  <sheetData>
    <row r="1">
      <c r="A1" t="inlineStr" s="1">
        <is>
          <t>Role-Based Monthly Effort Allocation</t>
        </is>
      </c>
    </row>
    <row r="2">
      <c r="A2" t="inlineStr">
        <is>
          <t>Percentages are editable planning allocations applied to the baseline monthly scenario totals.</t>
        </is>
      </c>
    </row>
    <row r="3">
      <c r="A3" t="inlineStr" s="1">
        <is>
          <t>Role</t>
        </is>
      </c>
      <c r="B3" t="inlineStr" s="1">
        <is>
          <t>Allocation %</t>
        </is>
      </c>
      <c r="C3" t="inlineStr" s="1">
        <is>
          <t>250 Apps Monthly Hours</t>
        </is>
      </c>
      <c r="D3" t="inlineStr" s="1">
        <is>
          <t>100 Apps Monthly Hours</t>
        </is>
      </c>
      <c r="E3" t="inlineStr" s="1">
        <is>
          <t>50 Apps Monthly Hours</t>
        </is>
      </c>
      <c r="F3" t="inlineStr" s="1">
        <is>
          <t>Role Description</t>
        </is>
      </c>
    </row>
    <row r="4">
      <c r="A4" t="inlineStr">
        <is>
          <t>Application developers / integration engineers</t>
        </is>
      </c>
      <c r="B4">
        <v>0.18</v>
      </c>
      <c r="C4">
        <f>Portfolio_Summary!C4*B4</f>
      </c>
      <c r="D4">
        <f>Portfolio_Summary!C5*B4</f>
      </c>
      <c r="E4">
        <f>Portfolio_Summary!C6*B4</f>
      </c>
      <c r="F4" t="inlineStr">
        <is>
          <t>Back-end change owners, wrappers, break-fix, vendor coordination</t>
        </is>
      </c>
    </row>
    <row r="5">
      <c r="A5" t="inlineStr">
        <is>
          <t>DevOps / SRE</t>
        </is>
      </c>
      <c r="B5">
        <v>0.27</v>
      </c>
      <c r="C5">
        <f>Portfolio_Summary!C4*B5</f>
      </c>
      <c r="D5">
        <f>Portfolio_Summary!C5*B5</f>
      </c>
      <c r="E5">
        <f>Portfolio_Summary!C6*B5</f>
      </c>
      <c r="F5" t="inlineStr">
        <is>
          <t>AKS operations, observability, certificates, scaling, platform support</t>
        </is>
      </c>
    </row>
    <row r="6">
      <c r="A6" t="inlineStr">
        <is>
          <t>Thales security administration</t>
        </is>
      </c>
      <c r="B6">
        <v>0.1</v>
      </c>
      <c r="C6">
        <f>Portfolio_Summary!C4*B6</f>
      </c>
      <c r="D6">
        <f>Portfolio_Summary!C5*B6</f>
      </c>
      <c r="E6">
        <f>Portfolio_Summary!C6*B6</f>
      </c>
      <c r="F6" t="inlineStr">
        <is>
          <t>Policies, user sets, audit review, key lifecycle oversight</t>
        </is>
      </c>
    </row>
    <row r="7">
      <c r="A7" t="inlineStr">
        <is>
          <t>DBA / data engineering</t>
        </is>
      </c>
      <c r="B7">
        <v>0.15</v>
      </c>
      <c r="C7">
        <f>Portfolio_Summary!C4*B7</f>
      </c>
      <c r="D7">
        <f>Portfolio_Summary!C5*B7</f>
      </c>
      <c r="E7">
        <f>Portfolio_Summary!C6*B7</f>
      </c>
      <c r="F7" t="inlineStr">
        <is>
          <t>Protected tables, data-load planning, schema validation, SQL review</t>
        </is>
      </c>
    </row>
    <row r="8">
      <c r="A8" t="inlineStr">
        <is>
          <t>Cloud architects / platform engineering</t>
        </is>
      </c>
      <c r="B8">
        <v>0.08</v>
      </c>
      <c r="C8">
        <f>Portfolio_Summary!C4*B8</f>
      </c>
      <c r="D8">
        <f>Portfolio_Summary!C5*B8</f>
      </c>
      <c r="E8">
        <f>Portfolio_Summary!C6*B8</f>
      </c>
      <c r="F8" t="inlineStr">
        <is>
          <t>Cluster topology, network design, workload placement guidance</t>
        </is>
      </c>
    </row>
    <row r="9">
      <c r="A9" t="inlineStr">
        <is>
          <t>Performance / capacity engineering</t>
        </is>
      </c>
      <c r="B9">
        <v>0.1</v>
      </c>
      <c r="C9">
        <f>Portfolio_Summary!C4*B9</f>
      </c>
      <c r="D9">
        <f>Portfolio_Summary!C5*B9</f>
      </c>
      <c r="E9">
        <f>Portfolio_Summary!C6*B9</f>
      </c>
      <c r="F9" t="inlineStr">
        <is>
          <t>Prometheus review, reveal-heavy tuning, autoscaling thresholds</t>
        </is>
      </c>
    </row>
    <row r="10">
      <c r="A10" t="inlineStr">
        <is>
          <t>Service management / release coordination</t>
        </is>
      </c>
      <c r="B10">
        <v>0.07</v>
      </c>
      <c r="C10">
        <f>Portfolio_Summary!C4*B10</f>
      </c>
      <c r="D10">
        <f>Portfolio_Summary!C5*B10</f>
      </c>
      <c r="E10">
        <f>Portfolio_Summary!C6*B10</f>
      </c>
      <c r="F10" t="inlineStr">
        <is>
          <t>Incidents, releases, change windows, escalation tracking</t>
        </is>
      </c>
    </row>
    <row r="11">
      <c r="A11" t="inlineStr">
        <is>
          <t>Databricks / analytics specialists</t>
        </is>
      </c>
      <c r="B11">
        <v>0.05</v>
      </c>
      <c r="C11">
        <f>Portfolio_Summary!C4*B11</f>
      </c>
      <c r="D11">
        <f>Portfolio_Summary!C5*B11</f>
      </c>
      <c r="E11">
        <f>Portfolio_Summary!C6*B11</f>
      </c>
      <c r="F11" t="inlineStr">
        <is>
          <t>Batch UDFs, analytics reveal flows, downstream data consumers</t>
        </is>
      </c>
    </row>
    <row r="12"/>
    <row r="13">
      <c r="A13" t="inlineStr" s="1">
        <is>
          <t>Allocation total</t>
        </is>
      </c>
      <c r="B13" s="1">
        <f>SUM(B4:B11)</f>
      </c>
    </row>
  </sheetData>
</worksheet>
</file>

<file path=xl/worksheets/sheet12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18" customWidth="1"/>
    <col min="3" max="3" width="36" customWidth="1"/>
    <col min="4" max="4" width="22" customWidth="1"/>
    <col min="5" max="5" width="36" customWidth="1"/>
    <col min="6" max="6" width="14" customWidth="1"/>
    <col min="7" max="7" width="16" customWidth="1"/>
  </cols>
  <sheetData>
    <row r="1">
      <c r="A1" t="inlineStr" s="1">
        <is>
          <t>Visual Summary</t>
        </is>
      </c>
    </row>
    <row r="2">
      <c r="A2" t="inlineStr">
        <is>
          <t>Formula-based bars provide a simple chart-like view without requiring external libraries.</t>
        </is>
      </c>
    </row>
    <row r="3">
      <c r="A3" t="inlineStr" s="1">
        <is>
          <t>Scenario</t>
        </is>
      </c>
      <c r="B3" t="inlineStr" s="1">
        <is>
          <t>Baseline Monthly Hours</t>
        </is>
      </c>
      <c r="C3" t="inlineStr" s="1">
        <is>
          <t>Baseline Bar</t>
        </is>
      </c>
      <c r="D3" t="inlineStr" s="1">
        <is>
          <t>Conservative Monthly Hours</t>
        </is>
      </c>
      <c r="E3" t="inlineStr" s="1">
        <is>
          <t>Conservative Bar</t>
        </is>
      </c>
      <c r="F3" t="inlineStr" s="1">
        <is>
          <t>Baseline FTE</t>
        </is>
      </c>
      <c r="G3" t="inlineStr" s="1">
        <is>
          <t>Conservative FTE</t>
        </is>
      </c>
    </row>
    <row r="4">
      <c r="A4" t="inlineStr">
        <is>
          <t>250 apps</t>
        </is>
      </c>
      <c r="B4">
        <f>Portfolio_Summary!C4</f>
      </c>
      <c r="C4">
        <f>REPT("|",ROUND(B4/120,0))</f>
      </c>
      <c r="D4">
        <f>Portfolio_Summary!F4</f>
      </c>
      <c r="E4">
        <f>REPT("|",ROUND(D4/120,0))</f>
      </c>
      <c r="F4">
        <f>Portfolio_Summary!E4</f>
      </c>
      <c r="G4">
        <f>Portfolio_Summary!H4</f>
      </c>
    </row>
    <row r="5">
      <c r="A5" t="inlineStr">
        <is>
          <t>100 apps</t>
        </is>
      </c>
      <c r="B5">
        <f>Portfolio_Summary!C5</f>
      </c>
      <c r="C5">
        <f>REPT("|",ROUND(B5/120,0))</f>
      </c>
      <c r="D5">
        <f>Portfolio_Summary!F5</f>
      </c>
      <c r="E5">
        <f>REPT("|",ROUND(D5/120,0))</f>
      </c>
      <c r="F5">
        <f>Portfolio_Summary!E5</f>
      </c>
      <c r="G5">
        <f>Portfolio_Summary!H5</f>
      </c>
    </row>
    <row r="6">
      <c r="A6" t="inlineStr">
        <is>
          <t>50 apps</t>
        </is>
      </c>
      <c r="B6">
        <f>Portfolio_Summary!C6</f>
      </c>
      <c r="C6">
        <f>REPT("|",ROUND(B6/120,0))</f>
      </c>
      <c r="D6">
        <f>Portfolio_Summary!F6</f>
      </c>
      <c r="E6">
        <f>REPT("|",ROUND(D6/120,0))</f>
      </c>
      <c r="F6">
        <f>Portfolio_Summary!E6</f>
      </c>
      <c r="G6">
        <f>Portfolio_Summary!H6</f>
      </c>
    </row>
  </sheetData>
</worksheet>
</file>